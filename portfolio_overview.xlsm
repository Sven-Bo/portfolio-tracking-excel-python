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nanatree\Documents\YT_Tutorials\01_Projects\35_Portfolio_Overview\YOUTUBE_UPLOAD_FILES\portfolio_overview\"/>
    </mc:Choice>
  </mc:AlternateContent>
  <xr:revisionPtr revIDLastSave="0" documentId="13_ncr:1_{A11829B8-BC1B-48BC-A454-13066CB695F4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Portfolio" sheetId="1" r:id="rId1"/>
    <sheet name="Settings" sheetId="4" state="hidden" r:id="rId2"/>
    <sheet name="_xlwings.conf" sheetId="2" r:id="rId3"/>
  </sheets>
  <functionGroups builtInGroupCount="19"/>
  <definedNames>
    <definedName name="Currency">Settings!$A$2:$A$35</definedName>
    <definedName name="TARGET_CURRENCY">Portfolio!$B$7</definedName>
    <definedName name="TICKER">Portfolio!$B$9</definedName>
    <definedName name="TIMESTAMP">Portfolio!$B$4</definedName>
  </definedNames>
  <calcPr calcId="181029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O26" i="1" l="1"/>
  <c r="X26" i="1" s="1"/>
  <c r="P26" i="1"/>
  <c r="W26" i="1"/>
  <c r="Y26" i="1"/>
  <c r="O27" i="1"/>
  <c r="X27" i="1" s="1"/>
  <c r="P27" i="1"/>
  <c r="W27" i="1"/>
  <c r="Y27" i="1"/>
  <c r="O28" i="1"/>
  <c r="X28" i="1" s="1"/>
  <c r="P28" i="1"/>
  <c r="W28" i="1"/>
  <c r="Y28" i="1"/>
  <c r="O29" i="1"/>
  <c r="X29" i="1" s="1"/>
  <c r="P29" i="1"/>
  <c r="W29" i="1"/>
  <c r="Y29" i="1"/>
  <c r="O30" i="1"/>
  <c r="X30" i="1" s="1"/>
  <c r="P30" i="1"/>
  <c r="W30" i="1"/>
  <c r="Y30" i="1"/>
  <c r="O31" i="1"/>
  <c r="X31" i="1" s="1"/>
  <c r="P31" i="1"/>
  <c r="W31" i="1"/>
  <c r="Y31" i="1"/>
  <c r="O32" i="1"/>
  <c r="X32" i="1" s="1"/>
  <c r="P32" i="1"/>
  <c r="W32" i="1"/>
  <c r="Y32" i="1"/>
  <c r="O33" i="1"/>
  <c r="X33" i="1" s="1"/>
  <c r="P33" i="1"/>
  <c r="W33" i="1"/>
  <c r="Y33" i="1"/>
  <c r="O34" i="1"/>
  <c r="X34" i="1" s="1"/>
  <c r="P34" i="1"/>
  <c r="W34" i="1"/>
  <c r="Y34" i="1"/>
  <c r="O35" i="1"/>
  <c r="X35" i="1" s="1"/>
  <c r="P35" i="1"/>
  <c r="W35" i="1"/>
  <c r="Y35" i="1"/>
  <c r="O36" i="1"/>
  <c r="X36" i="1" s="1"/>
  <c r="P36" i="1"/>
  <c r="W36" i="1"/>
  <c r="Y36" i="1"/>
  <c r="O37" i="1"/>
  <c r="X37" i="1" s="1"/>
  <c r="P37" i="1"/>
  <c r="W37" i="1"/>
  <c r="Y37" i="1"/>
  <c r="O38" i="1"/>
  <c r="X38" i="1" s="1"/>
  <c r="P38" i="1"/>
  <c r="W38" i="1"/>
  <c r="Y38" i="1"/>
  <c r="O39" i="1"/>
  <c r="X39" i="1" s="1"/>
  <c r="P39" i="1"/>
  <c r="W39" i="1"/>
  <c r="Y39" i="1"/>
  <c r="O40" i="1"/>
  <c r="X40" i="1" s="1"/>
  <c r="P40" i="1"/>
  <c r="W40" i="1"/>
  <c r="Y40" i="1"/>
  <c r="O41" i="1"/>
  <c r="X41" i="1" s="1"/>
  <c r="P41" i="1"/>
  <c r="W41" i="1"/>
  <c r="Y41" i="1"/>
  <c r="O42" i="1"/>
  <c r="X42" i="1" s="1"/>
  <c r="P42" i="1"/>
  <c r="W42" i="1"/>
  <c r="Y42" i="1"/>
  <c r="O43" i="1"/>
  <c r="X43" i="1" s="1"/>
  <c r="P43" i="1"/>
  <c r="W43" i="1"/>
  <c r="Y43" i="1"/>
  <c r="O44" i="1"/>
  <c r="X44" i="1" s="1"/>
  <c r="P44" i="1"/>
  <c r="W44" i="1"/>
  <c r="Y44" i="1"/>
  <c r="O45" i="1"/>
  <c r="X45" i="1" s="1"/>
  <c r="P45" i="1"/>
  <c r="W45" i="1"/>
  <c r="Y45" i="1"/>
  <c r="O46" i="1"/>
  <c r="X46" i="1" s="1"/>
  <c r="P46" i="1"/>
  <c r="W46" i="1"/>
  <c r="Y46" i="1"/>
  <c r="O47" i="1"/>
  <c r="X47" i="1" s="1"/>
  <c r="P47" i="1"/>
  <c r="W47" i="1"/>
  <c r="Y47" i="1"/>
  <c r="O48" i="1"/>
  <c r="X48" i="1" s="1"/>
  <c r="P48" i="1"/>
  <c r="W48" i="1"/>
  <c r="Y48" i="1"/>
  <c r="O49" i="1"/>
  <c r="X49" i="1" s="1"/>
  <c r="P49" i="1"/>
  <c r="W49" i="1"/>
  <c r="Y49" i="1"/>
  <c r="O50" i="1"/>
  <c r="X50" i="1" s="1"/>
  <c r="P50" i="1"/>
  <c r="W50" i="1"/>
  <c r="Y50" i="1"/>
  <c r="O23" i="1"/>
  <c r="P23" i="1"/>
  <c r="W23" i="1"/>
  <c r="Y23" i="1"/>
  <c r="O24" i="1"/>
  <c r="X24" i="1" s="1"/>
  <c r="P24" i="1"/>
  <c r="W24" i="1"/>
  <c r="Y24" i="1"/>
  <c r="O25" i="1"/>
  <c r="X25" i="1" s="1"/>
  <c r="P25" i="1"/>
  <c r="W25" i="1"/>
  <c r="Y25" i="1"/>
  <c r="A8" i="1"/>
  <c r="Q49" i="1" l="1"/>
  <c r="Q47" i="1"/>
  <c r="Q45" i="1"/>
  <c r="Q43" i="1"/>
  <c r="Q41" i="1"/>
  <c r="Q39" i="1"/>
  <c r="Q37" i="1"/>
  <c r="Q35" i="1"/>
  <c r="Q33" i="1"/>
  <c r="Q31" i="1"/>
  <c r="Q29" i="1"/>
  <c r="Q27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Q24" i="1"/>
  <c r="Q25" i="1"/>
  <c r="Q23" i="1"/>
  <c r="X23" i="1"/>
  <c r="R25" i="1"/>
  <c r="R24" i="1"/>
  <c r="R23" i="1"/>
  <c r="D9" i="1"/>
  <c r="Y10" i="1"/>
  <c r="W10" i="1"/>
  <c r="P10" i="1"/>
  <c r="Q10" i="1" s="1"/>
  <c r="O10" i="1"/>
  <c r="X10" i="1" s="1"/>
  <c r="Y11" i="1"/>
  <c r="W11" i="1"/>
  <c r="P11" i="1"/>
  <c r="O11" i="1"/>
  <c r="X11" i="1" s="1"/>
  <c r="W12" i="1"/>
  <c r="W13" i="1"/>
  <c r="W14" i="1"/>
  <c r="W15" i="1"/>
  <c r="W16" i="1"/>
  <c r="W17" i="1"/>
  <c r="W18" i="1"/>
  <c r="W19" i="1"/>
  <c r="W20" i="1"/>
  <c r="W21" i="1"/>
  <c r="W22" i="1"/>
  <c r="R10" i="1" l="1"/>
  <c r="R11" i="1"/>
  <c r="Q11" i="1"/>
  <c r="O15" i="1" l="1"/>
  <c r="P15" i="1"/>
  <c r="Y15" i="1"/>
  <c r="O16" i="1"/>
  <c r="P16" i="1"/>
  <c r="Y16" i="1"/>
  <c r="O17" i="1"/>
  <c r="P17" i="1"/>
  <c r="Y17" i="1"/>
  <c r="O18" i="1"/>
  <c r="P18" i="1"/>
  <c r="Y18" i="1"/>
  <c r="O19" i="1"/>
  <c r="P19" i="1"/>
  <c r="Y19" i="1"/>
  <c r="O20" i="1"/>
  <c r="X20" i="1" s="1"/>
  <c r="P20" i="1"/>
  <c r="Y20" i="1"/>
  <c r="O21" i="1"/>
  <c r="P21" i="1"/>
  <c r="Y21" i="1"/>
  <c r="O22" i="1"/>
  <c r="P22" i="1"/>
  <c r="Y22" i="1"/>
  <c r="O12" i="1"/>
  <c r="O13" i="1"/>
  <c r="O14" i="1"/>
  <c r="E9" i="1"/>
  <c r="Y12" i="1"/>
  <c r="Y13" i="1"/>
  <c r="Y14" i="1"/>
  <c r="O8" i="1" l="1"/>
  <c r="X18" i="1"/>
  <c r="X16" i="1"/>
  <c r="X17" i="1"/>
  <c r="X22" i="1"/>
  <c r="X21" i="1"/>
  <c r="Q19" i="1"/>
  <c r="X14" i="1"/>
  <c r="X19" i="1"/>
  <c r="X13" i="1"/>
  <c r="X15" i="1"/>
  <c r="X12" i="1"/>
  <c r="R19" i="1"/>
  <c r="Q20" i="1"/>
  <c r="Q15" i="1"/>
  <c r="Q17" i="1"/>
  <c r="Q22" i="1"/>
  <c r="R22" i="1"/>
  <c r="Q16" i="1"/>
  <c r="Q18" i="1"/>
  <c r="R16" i="1"/>
  <c r="Q21" i="1"/>
  <c r="R18" i="1"/>
  <c r="R17" i="1"/>
  <c r="R20" i="1"/>
  <c r="R21" i="1"/>
  <c r="R15" i="1"/>
  <c r="P13" i="1" l="1"/>
  <c r="P14" i="1"/>
  <c r="P12" i="1"/>
  <c r="R13" i="1" l="1"/>
  <c r="P8" i="1"/>
  <c r="Q13" i="1"/>
  <c r="R14" i="1"/>
  <c r="Q14" i="1"/>
  <c r="R12" i="1"/>
  <c r="Q12" i="1"/>
  <c r="Z26" i="1" l="1"/>
  <c r="Z34" i="1"/>
  <c r="Z42" i="1"/>
  <c r="Z50" i="1"/>
  <c r="Z37" i="1"/>
  <c r="Z32" i="1"/>
  <c r="Z41" i="1"/>
  <c r="Z19" i="1"/>
  <c r="Z27" i="1"/>
  <c r="Z35" i="1"/>
  <c r="Z43" i="1"/>
  <c r="Z29" i="1"/>
  <c r="Z22" i="1"/>
  <c r="Z46" i="1"/>
  <c r="Z23" i="1"/>
  <c r="Z47" i="1"/>
  <c r="Z24" i="1"/>
  <c r="Z25" i="1"/>
  <c r="Z20" i="1"/>
  <c r="Z28" i="1"/>
  <c r="Z36" i="1"/>
  <c r="Z44" i="1"/>
  <c r="Z21" i="1"/>
  <c r="Z45" i="1"/>
  <c r="Z30" i="1"/>
  <c r="Z38" i="1"/>
  <c r="Z31" i="1"/>
  <c r="Z48" i="1"/>
  <c r="Z33" i="1"/>
  <c r="Z49" i="1"/>
  <c r="Z40" i="1"/>
  <c r="Z39" i="1"/>
  <c r="Z11" i="1"/>
  <c r="Z17" i="1"/>
  <c r="Z15" i="1"/>
  <c r="Z18" i="1"/>
  <c r="Z16" i="1"/>
  <c r="Z12" i="1"/>
  <c r="Z13" i="1"/>
  <c r="Z14" i="1"/>
  <c r="R8" i="1"/>
  <c r="Z10" i="1"/>
  <c r="Q8" i="1"/>
  <c r="D3" i="4" s="1"/>
  <c r="Z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B9" authorId="0" shapeId="0" xr:uid="{89877160-5165-4E68-B600-0CBC622B4878}">
      <text>
        <r>
          <rPr>
            <b/>
            <sz val="9"/>
            <color indexed="81"/>
            <rFont val="Tahoma"/>
            <family val="2"/>
          </rPr>
          <t>Ticker symbols are used to represent securities, such as stocks, on exchanges. They are usually a combination of letters that abbreviate the name of a company or commodity – preventing confusion and making it easier for traders to complete orders with speed. Examples of ticker symbols include Apple (AAPL,) Facebook (FB) and Amazon (AMZN.)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B898281C-FE8F-4AB7-A88A-345BD104BB0A}">
      <text>
        <r>
          <rPr>
            <b/>
            <sz val="9"/>
            <color indexed="81"/>
            <rFont val="Tahoma"/>
            <family val="2"/>
          </rPr>
          <t>Your average share price for the specified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49F0CE46-6AEC-4F57-868A-6FF929A17658}">
      <text>
        <r>
          <rPr>
            <b/>
            <sz val="9"/>
            <color indexed="81"/>
            <rFont val="Tahoma"/>
            <family val="2"/>
          </rPr>
          <t>The share price of the specified stock at the current market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 xr:uid="{2EC03E2B-4EDD-4275-9CAE-5C17D333C0FC}">
      <text>
        <r>
          <rPr>
            <b/>
            <sz val="9"/>
            <color indexed="81"/>
            <rFont val="Tahoma"/>
            <family val="2"/>
          </rPr>
          <t>Currency of the ticker. This is only for your information. The values are already converted to your desired output currency.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 xr:uid="{2382CC65-95B3-485E-A598-C6D01C5C50F1}">
      <text>
        <r>
          <rPr>
            <b/>
            <sz val="9"/>
            <color indexed="81"/>
            <rFont val="Tahoma"/>
            <family val="2"/>
          </rPr>
          <t>Conversion rate between the "Currency of Ticker" &amp; your desired output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" authorId="0" shapeId="0" xr:uid="{92549AC3-D835-4C73-9036-DA35A011E17A}">
      <text>
        <r>
          <rPr>
            <b/>
            <sz val="9"/>
            <color indexed="81"/>
            <rFont val="Tahoma"/>
            <family val="2"/>
          </rPr>
          <t>The opening price is the price at which a security first trades when an exchange opens for the day.</t>
        </r>
      </text>
    </comment>
    <comment ref="I9" authorId="0" shapeId="0" xr:uid="{CE6CF278-A1D1-46B5-BCDE-C7720AAE82D0}">
      <text>
        <r>
          <rPr>
            <b/>
            <sz val="9"/>
            <color indexed="81"/>
            <rFont val="Tahoma"/>
            <family val="2"/>
          </rPr>
          <t>This is the lowest traded price for a security during the latest day's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" authorId="0" shapeId="0" xr:uid="{F094DDB7-74A3-465A-8743-3731831346BE}">
      <text>
        <r>
          <rPr>
            <b/>
            <sz val="9"/>
            <color indexed="81"/>
            <rFont val="Tahoma"/>
            <family val="2"/>
          </rPr>
          <t>This is the highest traded price for a security during the latest day's trading.</t>
        </r>
      </text>
    </comment>
    <comment ref="K9" authorId="0" shapeId="0" xr:uid="{5A08E569-2269-4320-A71E-86C038A2EE07}">
      <text>
        <r>
          <rPr>
            <b/>
            <sz val="9"/>
            <color indexed="81"/>
            <rFont val="Tahoma"/>
            <family val="2"/>
          </rPr>
          <t>The lowest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" authorId="0" shapeId="0" xr:uid="{DD6D797F-6D13-4615-83FF-13B7F0954329}">
      <text>
        <r>
          <rPr>
            <b/>
            <sz val="9"/>
            <color indexed="81"/>
            <rFont val="Tahoma"/>
            <family val="2"/>
          </rPr>
          <t>The highest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 shapeId="0" xr:uid="{D236B42F-521A-410A-9FAC-6ED825BAAEE0}">
      <text>
        <r>
          <rPr>
            <b/>
            <sz val="9"/>
            <color indexed="81"/>
            <rFont val="Tahoma"/>
            <family val="2"/>
          </rPr>
          <t>The 50 Day Moving Average is a stock price average over the last 50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" authorId="0" shapeId="0" xr:uid="{F99F06E8-6CA0-455E-8BC5-7D60C42FD6C7}">
      <text>
        <r>
          <rPr>
            <b/>
            <sz val="9"/>
            <color indexed="81"/>
            <rFont val="Tahoma"/>
            <family val="2"/>
          </rPr>
          <t>The 200 Day Moving Average is a stock price average over the last 200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" authorId="0" shapeId="0" xr:uid="{72D78A0B-C248-4414-BD86-4AD6E3764F67}">
      <text>
        <r>
          <rPr>
            <b/>
            <sz val="9"/>
            <color indexed="81"/>
            <rFont val="Tahoma"/>
            <family val="2"/>
          </rPr>
          <t>The total amount originally invested, plus any commissions or fees involved in the purchase.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" authorId="0" shapeId="0" xr:uid="{BE030C47-8F90-4A73-854A-A18E8A19F575}">
      <text>
        <r>
          <rPr>
            <b/>
            <sz val="9"/>
            <color indexed="81"/>
            <rFont val="Tahoma"/>
            <family val="2"/>
          </rPr>
          <t>The market value of the position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" authorId="0" shapeId="0" xr:uid="{8D129118-15E6-469A-93D4-0BEE7143E7BD}">
      <text>
        <r>
          <rPr>
            <b/>
            <sz val="9"/>
            <color indexed="81"/>
            <rFont val="Tahoma"/>
            <family val="2"/>
          </rPr>
          <t>Unrealized capital gains and losses for the position in absolute figures</t>
        </r>
      </text>
    </comment>
    <comment ref="R9" authorId="0" shapeId="0" xr:uid="{673D2EFD-7B97-4D4D-87ED-E63D31D35446}">
      <text>
        <r>
          <rPr>
            <b/>
            <sz val="9"/>
            <color indexed="81"/>
            <rFont val="Tahoma"/>
            <family val="2"/>
          </rPr>
          <t>Unrealized capital gains and losses for the position in percent (%)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" authorId="0" shapeId="0" xr:uid="{E12A0395-025F-473C-B4F4-1C02EE6E6FF9}">
      <text>
        <r>
          <rPr>
            <b/>
            <sz val="9"/>
            <color indexed="81"/>
            <rFont val="Tahoma"/>
            <family val="2"/>
          </rPr>
          <t>The payout ratio, also known as the dividend payout ratio, shows the percentage of a company's earnings paid out as dividends to shareholders.</t>
        </r>
      </text>
    </comment>
    <comment ref="T9" authorId="0" shapeId="0" xr:uid="{32473D71-17BE-45A4-A17B-C8CCD321E40B}">
      <text>
        <r>
          <rPr>
            <b/>
            <sz val="9"/>
            <color indexed="81"/>
            <rFont val="Tahoma"/>
            <family val="2"/>
          </rPr>
          <t>Ex-dividend describes a stock that is trading without the value of the next dividend payment. The ex-dividend date or "ex-date" is the day the stock starts trading without the value of its next dividend payment. Typically, the ex-dividend date for a stock is one business day before the record date, meaning that an investor who buys the stock on its ex-dividend date or later will not be eligible to receive the declared dividend. Rather, the dividend payment is made to whoever owned the stock the day before the ex-dividend date.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" authorId="0" shapeId="0" xr:uid="{66C447AC-0A60-4EE6-BF36-7D70AF575A1C}">
      <text>
        <r>
          <rPr>
            <b/>
            <sz val="9"/>
            <color indexed="81"/>
            <rFont val="Tahoma"/>
            <family val="2"/>
          </rPr>
          <t>For Funds, e.g. ETF's: 
The ratio of the Funds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" authorId="0" shapeId="0" xr:uid="{4BBE1CC9-154B-434F-B625-783834BE47AA}">
      <text>
        <r>
          <rPr>
            <b/>
            <sz val="9"/>
            <color indexed="81"/>
            <rFont val="Tahoma"/>
            <family val="2"/>
          </rPr>
          <t>Annual dividend payments to shareholders converted in selected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9" authorId="0" shapeId="0" xr:uid="{FA19AA8C-746A-462B-A03E-A97E9052C615}">
      <text>
        <r>
          <rPr>
            <b/>
            <sz val="9"/>
            <color indexed="81"/>
            <rFont val="Tahoma"/>
            <family val="2"/>
          </rPr>
          <t xml:space="preserve"> The ratio of the stock’s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 xr:uid="{97FA578C-D2D8-4F34-A759-B9D0DFB619AA}">
      <text>
        <r>
          <rPr>
            <b/>
            <sz val="9"/>
            <color indexed="81"/>
            <rFont val="Tahoma"/>
            <family val="2"/>
          </rPr>
          <t>A measure of dividend yield calculated by dividing a stock’s current dividend by the price initially paid for that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500E3DA6-277F-41B8-9C13-8A34B70017AE}">
      <text>
        <r>
          <rPr>
            <b/>
            <sz val="9"/>
            <color indexed="81"/>
            <rFont val="Tahoma"/>
            <family val="2"/>
          </rPr>
          <t>The annual dividend income (cash payout) for the position.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<sst xmlns="http://schemas.openxmlformats.org/spreadsheetml/2006/main" count="110" uniqueCount="99">
  <si>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</si>
  <si>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</si>
  <si>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</si>
  <si>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</si>
  <si>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</si>
  <si>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</si>
  <si>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</si>
  <si>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</si>
  <si>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</si>
  <si>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</si>
  <si>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</si>
  <si>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</si>
  <si>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</si>
  <si>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</si>
  <si>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</si>
  <si>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Shares</t>
  </si>
  <si>
    <t>Yield on Cost in %</t>
  </si>
  <si>
    <t>Ex-Dividend Date</t>
  </si>
  <si>
    <t>Ticker</t>
  </si>
  <si>
    <t>Currency</t>
  </si>
  <si>
    <t>Total Return (abs.)</t>
  </si>
  <si>
    <t>Total Return (rel.)</t>
  </si>
  <si>
    <t>Open Price</t>
  </si>
  <si>
    <t>Daily Low</t>
  </si>
  <si>
    <t>Daily High</t>
  </si>
  <si>
    <t>Yearly High</t>
  </si>
  <si>
    <t>Yearly Low</t>
  </si>
  <si>
    <t>USD</t>
  </si>
  <si>
    <t>EUR</t>
  </si>
  <si>
    <t>VWRD.L</t>
  </si>
  <si>
    <t>BAS.DE</t>
  </si>
  <si>
    <t>2914.T</t>
  </si>
  <si>
    <t>ITB.DE</t>
  </si>
  <si>
    <t>O</t>
  </si>
  <si>
    <t>JPY</t>
  </si>
  <si>
    <t>SEK</t>
  </si>
  <si>
    <t>GBP</t>
  </si>
  <si>
    <t>HKD</t>
  </si>
  <si>
    <t>IDR</t>
  </si>
  <si>
    <t>ILS</t>
  </si>
  <si>
    <t>DKK</t>
  </si>
  <si>
    <t>INR</t>
  </si>
  <si>
    <t>CHF</t>
  </si>
  <si>
    <t>MXN</t>
  </si>
  <si>
    <t>CZK</t>
  </si>
  <si>
    <t>SGD</t>
  </si>
  <si>
    <t>THB</t>
  </si>
  <si>
    <t>HRK</t>
  </si>
  <si>
    <t>MYR</t>
  </si>
  <si>
    <t>NOK</t>
  </si>
  <si>
    <t>CNY</t>
  </si>
  <si>
    <t>BGN</t>
  </si>
  <si>
    <t>PHP</t>
  </si>
  <si>
    <t>PLN</t>
  </si>
  <si>
    <t>ZAR</t>
  </si>
  <si>
    <t>CAD</t>
  </si>
  <si>
    <t>ISK</t>
  </si>
  <si>
    <t>BRL</t>
  </si>
  <si>
    <t>RON</t>
  </si>
  <si>
    <t>NZD</t>
  </si>
  <si>
    <t>TRY</t>
  </si>
  <si>
    <t>RUB</t>
  </si>
  <si>
    <t>KRW</t>
  </si>
  <si>
    <t>AUD</t>
  </si>
  <si>
    <t>HUF</t>
  </si>
  <si>
    <t>Currency of Ticker</t>
  </si>
  <si>
    <t>FX-Conversion Rate</t>
  </si>
  <si>
    <t>50 days moving average</t>
  </si>
  <si>
    <t>200 days moving average</t>
  </si>
  <si>
    <t>Last Updated:</t>
  </si>
  <si>
    <t>Total Cost Basis</t>
  </si>
  <si>
    <t>Total Market Value</t>
  </si>
  <si>
    <t>Dividend &amp; Portfolio Overview</t>
  </si>
  <si>
    <t>Gain/Loss</t>
  </si>
  <si>
    <t>Indicator</t>
  </si>
  <si>
    <t>ETH-USD</t>
  </si>
  <si>
    <t>BTC-USD</t>
  </si>
  <si>
    <t>Payout Ratio</t>
  </si>
  <si>
    <t>TICKER CURRENCY</t>
  </si>
  <si>
    <t>Company Name</t>
  </si>
  <si>
    <t>Annual Dividend Amount</t>
  </si>
  <si>
    <t>Estimated Annual Income</t>
  </si>
  <si>
    <t>Dividend Yield (%)</t>
  </si>
  <si>
    <r>
      <t xml:space="preserve">Yield (%) 
</t>
    </r>
    <r>
      <rPr>
        <b/>
        <i/>
        <sz val="8"/>
        <color theme="0"/>
        <rFont val="Arial"/>
        <family val="2"/>
      </rPr>
      <t>(for Funds)</t>
    </r>
  </si>
  <si>
    <t>Portfolio Weighting</t>
  </si>
  <si>
    <t>Convert Values to:</t>
  </si>
  <si>
    <t>INPUT FIELDS</t>
  </si>
  <si>
    <t>xlwings doucmentaiton:</t>
  </si>
  <si>
    <t>https://docs.xlwings.org/en/stable/addin.html</t>
  </si>
  <si>
    <t>invalid ticker</t>
  </si>
  <si>
    <t>MSFT</t>
  </si>
  <si>
    <t>Mar-28-2021_08:19:32</t>
  </si>
  <si>
    <t>Vanguard FTSE All-World UCITS ETF</t>
  </si>
  <si>
    <t>BASF SE</t>
  </si>
  <si>
    <t>Japan Tobacco Inc.</t>
  </si>
  <si>
    <t>Imperial Brands PLC</t>
  </si>
  <si>
    <t>Realty Income Corporation</t>
  </si>
  <si>
    <t>Microsoft Corporation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</si>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</sst>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0.0%"/>
    <numFmt numFmtId="166" formatCode="_(* #,##0_);_(* \(#,##0\);_(* &quot;-&quot;??_);_(@_)"/>
    <numFmt numFmtId="167" formatCode="\+#,##0.00;\-#,##0.00;#,##0.00"/>
    <numFmt numFmtId="168" formatCode="\+0.00%;\-0.00%;0.00%"/>
    <numFmt numFmtId="169" formatCode="[Color10]&quot;▲&quot;;[Red]&quot;▼&quot;"/>
  </numFmts>
  <fonts count="1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rgb="FF000000"/>
      <name val="Calibri"/>
      <family val="2"/>
    </font>
    <font>
      <b/>
      <sz val="10"/>
      <color theme="1"/>
      <name val="Arial"/>
      <family val="2"/>
    </font>
    <font>
      <b/>
      <sz val="33"/>
      <color theme="0"/>
      <name val="Arial"/>
      <family val="2"/>
    </font>
    <font>
      <b/>
      <sz val="10"/>
      <color theme="1" tint="0.14999847407452621"/>
      <name val="Arial"/>
      <family val="2"/>
    </font>
    <font>
      <b/>
      <i/>
      <sz val="8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4F4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5691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3" fontId="0" fillId="3" borderId="1" xfId="4" applyFont="1" applyFill="1" applyBorder="1"/>
    <xf numFmtId="10" fontId="0" fillId="3" borderId="1" xfId="1" applyNumberFormat="1" applyFont="1" applyFill="1" applyBorder="1"/>
    <xf numFmtId="0" fontId="0" fillId="4" borderId="1" xfId="0" applyFill="1" applyBorder="1"/>
    <xf numFmtId="43" fontId="0" fillId="4" borderId="1" xfId="0" applyNumberFormat="1" applyFill="1" applyBorder="1"/>
    <xf numFmtId="166" fontId="0" fillId="3" borderId="1" xfId="4" applyNumberFormat="1" applyFont="1" applyFill="1" applyBorder="1"/>
    <xf numFmtId="43" fontId="0" fillId="5" borderId="1" xfId="4" applyFont="1" applyFill="1" applyBorder="1"/>
    <xf numFmtId="0" fontId="0" fillId="6" borderId="0" xfId="0" applyFill="1"/>
    <xf numFmtId="164" fontId="0" fillId="3" borderId="1" xfId="4" applyNumberFormat="1" applyFont="1" applyFill="1" applyBorder="1" applyAlignment="1">
      <alignment horizontal="right"/>
    </xf>
    <xf numFmtId="43" fontId="4" fillId="8" borderId="2" xfId="4" applyFont="1" applyFill="1" applyBorder="1" applyAlignment="1">
      <alignment horizontal="center" vertical="center"/>
    </xf>
    <xf numFmtId="167" fontId="4" fillId="3" borderId="2" xfId="4" applyNumberFormat="1" applyFont="1" applyFill="1" applyBorder="1"/>
    <xf numFmtId="168" fontId="4" fillId="3" borderId="2" xfId="1" applyNumberFormat="1" applyFont="1" applyFill="1" applyBorder="1"/>
    <xf numFmtId="9" fontId="0" fillId="5" borderId="1" xfId="1" applyFont="1" applyFill="1" applyBorder="1"/>
    <xf numFmtId="165" fontId="0" fillId="5" borderId="1" xfId="1" applyNumberFormat="1" applyFont="1" applyFill="1" applyBorder="1"/>
    <xf numFmtId="14" fontId="0" fillId="5" borderId="1" xfId="4" applyNumberFormat="1" applyFont="1" applyFill="1" applyBorder="1"/>
    <xf numFmtId="166" fontId="4" fillId="8" borderId="2" xfId="4" applyNumberFormat="1" applyFont="1" applyFill="1" applyBorder="1" applyAlignment="1">
      <alignment horizontal="center" vertical="center"/>
    </xf>
    <xf numFmtId="0" fontId="0" fillId="10" borderId="0" xfId="0" applyFill="1"/>
    <xf numFmtId="169" fontId="0" fillId="10" borderId="0" xfId="0" applyNumberFormat="1" applyFill="1" applyAlignment="1">
      <alignment horizontal="center"/>
    </xf>
    <xf numFmtId="165" fontId="0" fillId="3" borderId="1" xfId="1" applyNumberFormat="1" applyFont="1" applyFill="1" applyBorder="1"/>
    <xf numFmtId="43" fontId="0" fillId="5" borderId="1" xfId="4" applyFont="1" applyFill="1" applyBorder="1" applyAlignment="1">
      <alignment horizontal="right"/>
    </xf>
    <xf numFmtId="43" fontId="0" fillId="5" borderId="1" xfId="4" applyFont="1" applyFill="1" applyBorder="1" applyAlignment="1">
      <alignment horizontal="left"/>
    </xf>
    <xf numFmtId="9" fontId="0" fillId="3" borderId="1" xfId="1" applyFont="1" applyFill="1" applyBorder="1" applyAlignment="1">
      <alignment horizontal="right"/>
    </xf>
    <xf numFmtId="0" fontId="6" fillId="4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right" vertical="center" wrapText="1"/>
    </xf>
    <xf numFmtId="0" fontId="10" fillId="4" borderId="0" xfId="0" applyFont="1" applyFill="1" applyBorder="1" applyAlignment="1">
      <alignment horizontal="center"/>
    </xf>
    <xf numFmtId="0" fontId="11" fillId="11" borderId="0" xfId="0" applyFont="1" applyFill="1" applyAlignment="1">
      <alignment vertical="center"/>
    </xf>
    <xf numFmtId="0" fontId="12" fillId="11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13" fillId="12" borderId="0" xfId="0" applyFont="1" applyFill="1" applyAlignment="1">
      <alignment vertical="center"/>
    </xf>
    <xf numFmtId="0" fontId="14" fillId="0" borderId="0" xfId="6" applyAlignment="1">
      <alignment vertical="center"/>
    </xf>
    <xf numFmtId="0" fontId="0" fillId="4" borderId="0" xfId="0" quotePrefix="1" applyFill="1"/>
    <xf numFmtId="0" fontId="0" fillId="4" borderId="0" xfId="0" applyFill="1"/>
    <xf numFmtId="0" fontId="15" fillId="7" borderId="0" xfId="0" applyFont="1" applyFill="1" applyAlignment="1">
      <alignment horizontal="right"/>
    </xf>
    <xf numFmtId="0" fontId="5" fillId="9" borderId="0" xfId="0" applyFont="1" applyFill="1" applyAlignment="1">
      <alignment horizontal="left" vertical="center" indent="2"/>
    </xf>
    <xf numFmtId="0" fontId="16" fillId="7" borderId="0" xfId="0" applyFont="1" applyFill="1" applyAlignment="1">
      <alignment horizontal="left"/>
    </xf>
    <xf numFmtId="0" fontId="0" fillId="6" borderId="0" xfId="0" applyFill="1" applyAlignment="1">
      <alignment horizont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1000000}"/>
  </cellStyles>
  <dxfs count="42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colors>
    <mruColors>
      <color rgb="FFFFFFCC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</xdr:row>
          <xdr:rowOff>106680</xdr:rowOff>
        </xdr:from>
        <xdr:to>
          <xdr:col>7</xdr:col>
          <xdr:colOff>617220</xdr:colOff>
          <xdr:row>1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40913</xdr:colOff>
      <xdr:row>2</xdr:row>
      <xdr:rowOff>67194</xdr:rowOff>
    </xdr:from>
    <xdr:to>
      <xdr:col>15</xdr:col>
      <xdr:colOff>419794</xdr:colOff>
      <xdr:row>6</xdr:row>
      <xdr:rowOff>129885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45868" y="837853"/>
          <a:ext cx="9739358" cy="59955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</xdr:txBody>
    </xdr:sp>
    <xdr:clientData/>
  </xdr:twoCellAnchor>
  <xdr:twoCellAnchor>
    <xdr:from>
      <xdr:col>6</xdr:col>
      <xdr:colOff>760696</xdr:colOff>
      <xdr:row>1</xdr:row>
      <xdr:rowOff>511141</xdr:rowOff>
    </xdr:from>
    <xdr:to>
      <xdr:col>10</xdr:col>
      <xdr:colOff>167643</xdr:colOff>
      <xdr:row>5</xdr:row>
      <xdr:rowOff>164523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445514" y="563096"/>
          <a:ext cx="2766674" cy="519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Capital Invested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548642</xdr:colOff>
      <xdr:row>1</xdr:row>
      <xdr:rowOff>502077</xdr:rowOff>
    </xdr:from>
    <xdr:to>
      <xdr:col>7</xdr:col>
      <xdr:colOff>387224</xdr:colOff>
      <xdr:row>5</xdr:row>
      <xdr:rowOff>147204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93528" y="554032"/>
          <a:ext cx="1518446" cy="511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No. of Stocks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580159</xdr:colOff>
      <xdr:row>2</xdr:row>
      <xdr:rowOff>32382</xdr:rowOff>
    </xdr:from>
    <xdr:to>
      <xdr:col>12</xdr:col>
      <xdr:colOff>73430</xdr:colOff>
      <xdr:row>5</xdr:row>
      <xdr:rowOff>147204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784773" y="612541"/>
          <a:ext cx="2013066" cy="45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Portfolio Value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457380</xdr:colOff>
      <xdr:row>3</xdr:row>
      <xdr:rowOff>183770</xdr:rowOff>
    </xdr:from>
    <xdr:to>
      <xdr:col>9</xdr:col>
      <xdr:colOff>538424</xdr:colOff>
      <xdr:row>7</xdr:row>
      <xdr:rowOff>6926</xdr:rowOff>
    </xdr:to>
    <xdr:sp macro="" textlink="$O$8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982130" y="850520"/>
          <a:ext cx="1760908" cy="472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BE6257-4A7B-4421-B0F6-A0C04EF36AE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51,690.00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548873</xdr:colOff>
      <xdr:row>3</xdr:row>
      <xdr:rowOff>161371</xdr:rowOff>
    </xdr:from>
    <xdr:to>
      <xdr:col>7</xdr:col>
      <xdr:colOff>353800</xdr:colOff>
      <xdr:row>6</xdr:row>
      <xdr:rowOff>194481</xdr:rowOff>
    </xdr:to>
    <xdr:sp macro="" textlink="$A$8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393759" y="828121"/>
          <a:ext cx="1484791" cy="483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AB17C6-CB69-4170-8299-9DC11767AB68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6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440749</xdr:colOff>
      <xdr:row>3</xdr:row>
      <xdr:rowOff>168355</xdr:rowOff>
    </xdr:from>
    <xdr:to>
      <xdr:col>12</xdr:col>
      <xdr:colOff>136170</xdr:colOff>
      <xdr:row>7</xdr:row>
      <xdr:rowOff>4846</xdr:rowOff>
    </xdr:to>
    <xdr:sp macro="" textlink="$P$8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645363" y="1025605"/>
          <a:ext cx="2215216" cy="4859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102C21-418C-42EA-85AE-229B2E33937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62,161.99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170328</xdr:colOff>
      <xdr:row>2</xdr:row>
      <xdr:rowOff>21209</xdr:rowOff>
    </xdr:from>
    <xdr:to>
      <xdr:col>13</xdr:col>
      <xdr:colOff>568557</xdr:colOff>
      <xdr:row>5</xdr:row>
      <xdr:rowOff>174220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894737" y="601368"/>
          <a:ext cx="1238161" cy="490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(abs)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183747</xdr:colOff>
      <xdr:row>2</xdr:row>
      <xdr:rowOff>19131</xdr:rowOff>
    </xdr:from>
    <xdr:to>
      <xdr:col>15</xdr:col>
      <xdr:colOff>239685</xdr:colOff>
      <xdr:row>5</xdr:row>
      <xdr:rowOff>168332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3588020" y="599290"/>
          <a:ext cx="1017097" cy="486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 (%)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2541</xdr:colOff>
      <xdr:row>1</xdr:row>
      <xdr:rowOff>507388</xdr:rowOff>
    </xdr:from>
    <xdr:to>
      <xdr:col>5</xdr:col>
      <xdr:colOff>676277</xdr:colOff>
      <xdr:row>5</xdr:row>
      <xdr:rowOff>138545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07496" y="559343"/>
          <a:ext cx="1513667" cy="49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Values in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245745</xdr:colOff>
      <xdr:row>4</xdr:row>
      <xdr:rowOff>22133</xdr:rowOff>
    </xdr:from>
    <xdr:to>
      <xdr:col>5</xdr:col>
      <xdr:colOff>262892</xdr:colOff>
      <xdr:row>6</xdr:row>
      <xdr:rowOff>180107</xdr:rowOff>
    </xdr:to>
    <xdr:sp macro="" textlink="TARGET_CURRENCY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50700" y="1078542"/>
          <a:ext cx="857078" cy="40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460E65-2431-4FB1-912A-9883515F8632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EUR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739643</xdr:colOff>
      <xdr:row>3</xdr:row>
      <xdr:rowOff>156061</xdr:rowOff>
    </xdr:from>
    <xdr:to>
      <xdr:col>13</xdr:col>
      <xdr:colOff>654456</xdr:colOff>
      <xdr:row>8</xdr:row>
      <xdr:rowOff>28747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594679" y="814152"/>
          <a:ext cx="1591213" cy="523850"/>
          <a:chOff x="9721716" y="1050893"/>
          <a:chExt cx="1611822" cy="447303"/>
        </a:xfrm>
      </xdr:grpSpPr>
      <xdr:sp macro="" textlink="$Q$8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9721716" y="1050893"/>
            <a:ext cx="1611822" cy="4473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CDE604E-AD59-4A25-9615-309099CED267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+10,471.99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197"/>
                  </a:ext>
                </a:extLst>
              </xdr:cNvPicPr>
            </xdr:nvPicPr>
            <xdr:blipFill rotWithShape="1">
              <a:blip xmlns:r="http://schemas.openxmlformats.org/officeDocument/2006/relationships" r:embed="rId1"/>
              <a:srcRect l="33711" t="13274" r="34791" b="8087"/>
              <a:stretch>
                <a:fillRect/>
              </a:stretch>
            </xdr:blipFill>
            <xdr:spPr bwMode="auto">
              <a:xfrm>
                <a:off x="11105853" y="1198418"/>
                <a:ext cx="210911" cy="1777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14</xdr:col>
      <xdr:colOff>27172</xdr:colOff>
      <xdr:row>3</xdr:row>
      <xdr:rowOff>179786</xdr:rowOff>
    </xdr:from>
    <xdr:to>
      <xdr:col>15</xdr:col>
      <xdr:colOff>321971</xdr:colOff>
      <xdr:row>8</xdr:row>
      <xdr:rowOff>18182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3396808" y="837877"/>
          <a:ext cx="1257690" cy="489560"/>
          <a:chOff x="11525232" y="1060418"/>
          <a:chExt cx="1261673" cy="437778"/>
        </a:xfrm>
      </xdr:grpSpPr>
      <xdr:sp macro="" textlink="$R$8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1525232" y="1060418"/>
            <a:ext cx="1182504" cy="437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EFCA10-1C29-42D8-A747-460AC0CFF75D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+20.26%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198"/>
                  </a:ext>
                </a:extLst>
              </xdr:cNvPicPr>
            </xdr:nvPicPr>
            <xdr:blipFill rotWithShape="1">
              <a:blip xmlns:r="http://schemas.openxmlformats.org/officeDocument/2006/relationships" r:embed="rId2"/>
              <a:srcRect l="33711" t="13274" r="34791" b="8087"/>
              <a:stretch>
                <a:fillRect/>
              </a:stretch>
            </xdr:blipFill>
            <xdr:spPr bwMode="auto">
              <a:xfrm>
                <a:off x="12583614" y="1198418"/>
                <a:ext cx="203291" cy="1815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152400</xdr:rowOff>
    </xdr:from>
    <xdr:to>
      <xdr:col>5</xdr:col>
      <xdr:colOff>211943</xdr:colOff>
      <xdr:row>41</xdr:row>
      <xdr:rowOff>169927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52875"/>
          <a:ext cx="5631668" cy="44180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ocs.xlwings.org/en/stable/addi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Z50"/>
  <sheetViews>
    <sheetView showGridLines="0" tabSelected="1" zoomScale="110" zoomScaleNormal="110" workbookViewId="0">
      <selection activeCell="E17" sqref="E17"/>
    </sheetView>
  </sheetViews>
  <sheetFormatPr defaultColWidth="11" defaultRowHeight="15.6" x14ac:dyDescent="0.3"/>
  <cols>
    <col min="1" max="1" width="27.19921875" customWidth="1"/>
    <col min="2" max="2" width="15.09765625" customWidth="1"/>
    <col min="4" max="4" width="12.19921875" customWidth="1"/>
    <col min="6" max="6" width="11" customWidth="1"/>
    <col min="15" max="15" width="12.59765625" customWidth="1"/>
    <col min="16" max="16" width="12.3984375" customWidth="1"/>
    <col min="17" max="17" width="12.5" customWidth="1"/>
    <col min="19" max="19" width="12.59765625" bestFit="1" customWidth="1"/>
    <col min="20" max="20" width="11.8984375" customWidth="1"/>
    <col min="21" max="21" width="12.3984375" customWidth="1"/>
    <col min="25" max="26" width="12.59765625" bestFit="1" customWidth="1"/>
  </cols>
  <sheetData>
    <row r="1" spans="1:26" ht="3.6" customHeight="1" x14ac:dyDescent="0.3"/>
    <row r="2" spans="1:26" ht="41.4" x14ac:dyDescent="0.3">
      <c r="A2" s="35" t="s">
        <v>72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6.6" customHeight="1" x14ac:dyDescent="0.3"/>
    <row r="4" spans="1:26" x14ac:dyDescent="0.3">
      <c r="A4" s="34" t="s">
        <v>69</v>
      </c>
      <c r="B4" s="36" t="s">
        <v>91</v>
      </c>
      <c r="C4" s="36"/>
    </row>
    <row r="5" spans="1:26" ht="3.6" customHeight="1" x14ac:dyDescent="0.3"/>
    <row r="6" spans="1:26" x14ac:dyDescent="0.3">
      <c r="A6" s="26" t="s">
        <v>86</v>
      </c>
    </row>
    <row r="7" spans="1:26" x14ac:dyDescent="0.3">
      <c r="A7" s="25" t="s">
        <v>85</v>
      </c>
      <c r="B7" s="24" t="s">
        <v>28</v>
      </c>
    </row>
    <row r="8" spans="1:26" ht="15.6" hidden="1" customHeight="1" x14ac:dyDescent="0.3">
      <c r="A8" s="17">
        <f>+COUNTIF(A10:A125, "*")</f>
        <v>6</v>
      </c>
      <c r="O8" s="11">
        <f>SUBTOTAL(9,O10:O134)</f>
        <v>51690</v>
      </c>
      <c r="P8" s="11">
        <f>SUBTOTAL(9,P10:P125)</f>
        <v>62161.98623929399</v>
      </c>
      <c r="Q8" s="12">
        <f>SUBTOTAL(9,Q10:Q125)</f>
        <v>10471.986239293994</v>
      </c>
      <c r="R8" s="13">
        <f>IFERROR(P8/O8-1,"")</f>
        <v>0.20259211141988764</v>
      </c>
      <c r="Z8" s="11" t="b">
        <f>SUBTOTAL(9,Z10:Z125)=1</f>
        <v>1</v>
      </c>
    </row>
    <row r="9" spans="1:26" ht="41.4" customHeight="1" x14ac:dyDescent="0.3">
      <c r="A9" s="2" t="s">
        <v>79</v>
      </c>
      <c r="B9" s="2" t="s">
        <v>18</v>
      </c>
      <c r="C9" s="2" t="s">
        <v>15</v>
      </c>
      <c r="D9" s="2" t="str">
        <f>"Average Purchase Price in "&amp;TARGET_CURRENCY</f>
        <v>Average Purchase Price in EUR</v>
      </c>
      <c r="E9" s="2" t="str">
        <f>"Market Price in "&amp;TARGET_CURRENCY</f>
        <v>Market Price in EUR</v>
      </c>
      <c r="F9" s="2" t="s">
        <v>65</v>
      </c>
      <c r="G9" s="2" t="s">
        <v>66</v>
      </c>
      <c r="H9" s="2" t="s">
        <v>22</v>
      </c>
      <c r="I9" s="2" t="s">
        <v>23</v>
      </c>
      <c r="J9" s="2" t="s">
        <v>24</v>
      </c>
      <c r="K9" s="2" t="s">
        <v>26</v>
      </c>
      <c r="L9" s="2" t="s">
        <v>25</v>
      </c>
      <c r="M9" s="2" t="s">
        <v>67</v>
      </c>
      <c r="N9" s="2" t="s">
        <v>68</v>
      </c>
      <c r="O9" s="2" t="s">
        <v>70</v>
      </c>
      <c r="P9" s="2" t="s">
        <v>71</v>
      </c>
      <c r="Q9" s="2" t="s">
        <v>20</v>
      </c>
      <c r="R9" s="2" t="s">
        <v>21</v>
      </c>
      <c r="S9" s="2" t="s">
        <v>77</v>
      </c>
      <c r="T9" s="2" t="s">
        <v>17</v>
      </c>
      <c r="U9" s="2" t="s">
        <v>83</v>
      </c>
      <c r="V9" s="2" t="s">
        <v>80</v>
      </c>
      <c r="W9" s="2" t="s">
        <v>82</v>
      </c>
      <c r="X9" s="2" t="s">
        <v>16</v>
      </c>
      <c r="Y9" s="2" t="s">
        <v>81</v>
      </c>
      <c r="Z9" s="2" t="s">
        <v>84</v>
      </c>
    </row>
    <row r="10" spans="1:26" x14ac:dyDescent="0.3">
      <c r="A10" s="22"/>
      <c r="B10" s="5" t="s">
        <v>75</v>
      </c>
      <c r="C10" s="5">
        <v>2</v>
      </c>
      <c r="D10" s="6">
        <v>1500</v>
      </c>
      <c r="E10" s="8">
        <v>1462.1506826499999</v>
      </c>
      <c r="F10" s="21" t="s">
        <v>27</v>
      </c>
      <c r="G10" s="8">
        <v>0.84770000000000001</v>
      </c>
      <c r="H10" s="8">
        <v>1446.2206194800001</v>
      </c>
      <c r="I10" s="8">
        <v>1419.82663228</v>
      </c>
      <c r="J10" s="8">
        <v>1468.08407403</v>
      </c>
      <c r="K10" s="8">
        <v>106.208061736</v>
      </c>
      <c r="L10" s="8">
        <v>1726.1600660500001</v>
      </c>
      <c r="M10" s="8">
        <v>1463.2241251599999</v>
      </c>
      <c r="N10" s="8">
        <v>784.95934943999998</v>
      </c>
      <c r="O10" s="7">
        <f>IFERROR(IF(C10&lt;&gt;"",C10*D10,""),"")</f>
        <v>3000</v>
      </c>
      <c r="P10" s="7">
        <f t="shared" ref="P10" si="0">IFERROR(E10*C10,"")</f>
        <v>2924.3013652999998</v>
      </c>
      <c r="Q10" s="3">
        <f t="shared" ref="Q10" si="1">IFERROR(P10-O10,"")</f>
        <v>-75.698634700000184</v>
      </c>
      <c r="R10" s="4">
        <f t="shared" ref="R10" si="2">IFERROR(P10/O10-1,"")</f>
        <v>-2.5232878233333422E-2</v>
      </c>
      <c r="S10" s="14"/>
      <c r="T10" s="16" t="s">
        <v>98</v>
      </c>
      <c r="U10" s="14"/>
      <c r="V10" s="8"/>
      <c r="W10" s="20">
        <f t="shared" ref="W10:W22" si="3">IFERROR(V10/E10,"")</f>
        <v>0</v>
      </c>
      <c r="X10" s="20">
        <f t="shared" ref="X10:X22" si="4">IFERROR((V10*C10)/O10,"")</f>
        <v>0</v>
      </c>
      <c r="Y10" s="10">
        <f t="shared" ref="Y10:Y22" si="5">IFERROR(+IF(V10&lt;&gt;"",V10*C10,U10*C10),"")</f>
        <v>0</v>
      </c>
      <c r="Z10" s="23">
        <f>+IF(P10="","",P10/$P$8)</f>
        <v>4.7043242055407219E-2</v>
      </c>
    </row>
    <row r="11" spans="1:26" x14ac:dyDescent="0.3">
      <c r="A11" s="22"/>
      <c r="B11" s="5" t="s">
        <v>76</v>
      </c>
      <c r="C11" s="5">
        <v>1</v>
      </c>
      <c r="D11" s="6">
        <v>40000</v>
      </c>
      <c r="E11" s="8">
        <v>47726.951089999995</v>
      </c>
      <c r="F11" s="21" t="s">
        <v>27</v>
      </c>
      <c r="G11" s="8">
        <v>0.84770000000000001</v>
      </c>
      <c r="H11" s="8">
        <v>46718.0482195</v>
      </c>
      <c r="I11" s="8">
        <v>45994.576111400005</v>
      </c>
      <c r="J11" s="8">
        <v>47935.431884900005</v>
      </c>
      <c r="K11" s="8">
        <v>5004.1718008799999</v>
      </c>
      <c r="L11" s="8">
        <v>52289.410665099997</v>
      </c>
      <c r="M11" s="8">
        <v>43581.477687999999</v>
      </c>
      <c r="N11" s="8">
        <v>23882.1046002</v>
      </c>
      <c r="O11" s="7">
        <f>IFERROR(IF(C11&lt;&gt;"",C11*D11,""),"")</f>
        <v>40000</v>
      </c>
      <c r="P11" s="7">
        <f t="shared" ref="P11" si="6">IFERROR(E11*C11,"")</f>
        <v>47726.951089999995</v>
      </c>
      <c r="Q11" s="3">
        <f t="shared" ref="Q11" si="7">IFERROR(P11-O11,"")</f>
        <v>7726.951089999995</v>
      </c>
      <c r="R11" s="4">
        <f t="shared" ref="R11" si="8">IFERROR(P11/O11-1,"")</f>
        <v>0.19317377724999996</v>
      </c>
      <c r="S11" s="14"/>
      <c r="T11" s="16" t="s">
        <v>98</v>
      </c>
      <c r="U11" s="14"/>
      <c r="V11" s="8"/>
      <c r="W11" s="20">
        <f t="shared" si="3"/>
        <v>0</v>
      </c>
      <c r="X11" s="20">
        <f t="shared" si="4"/>
        <v>0</v>
      </c>
      <c r="Y11" s="10">
        <f t="shared" si="5"/>
        <v>0</v>
      </c>
      <c r="Z11" s="23">
        <f t="shared" ref="Z11:Z50" si="9">+IF(P11="","",P11/$P$8)</f>
        <v>0.76778355997625303</v>
      </c>
    </row>
    <row r="12" spans="1:26" x14ac:dyDescent="0.3">
      <c r="A12" s="22" t="s">
        <v>92</v>
      </c>
      <c r="B12" s="5" t="s">
        <v>29</v>
      </c>
      <c r="C12" s="5">
        <v>13</v>
      </c>
      <c r="D12" s="6">
        <v>90</v>
      </c>
      <c r="E12" s="8">
        <v>93.518264000000002</v>
      </c>
      <c r="F12" s="21" t="s">
        <v>27</v>
      </c>
      <c r="G12" s="8">
        <v>0.84770000000000001</v>
      </c>
      <c r="H12" s="8">
        <v>93.357201000000003</v>
      </c>
      <c r="I12" s="8">
        <v>93.094414</v>
      </c>
      <c r="J12" s="8">
        <v>93.58608000000001</v>
      </c>
      <c r="K12" s="8">
        <v>47.465028744000001</v>
      </c>
      <c r="L12" s="8">
        <v>93.58608000000001</v>
      </c>
      <c r="M12" s="8">
        <v>67.567157665000011</v>
      </c>
      <c r="N12" s="8">
        <v>65.043351317000003</v>
      </c>
      <c r="O12" s="7">
        <f t="shared" ref="O12:O14" si="10">IFERROR(IF(C12&lt;&gt;"",C12*D12,""),"")</f>
        <v>1170</v>
      </c>
      <c r="P12" s="7">
        <f t="shared" ref="P12:P14" si="11">IFERROR(E12*C12,"")</f>
        <v>1215.7374320000001</v>
      </c>
      <c r="Q12" s="3">
        <f t="shared" ref="Q12:Q14" si="12">IFERROR(P12-O12,"")</f>
        <v>45.737432000000126</v>
      </c>
      <c r="R12" s="4">
        <f t="shared" ref="R12:R14" si="13">IFERROR(P12/O12-1,"")</f>
        <v>3.9091822222222294E-2</v>
      </c>
      <c r="S12" s="14"/>
      <c r="T12" s="16" t="s">
        <v>98</v>
      </c>
      <c r="U12" s="15">
        <v>1.4400001000000001E-2</v>
      </c>
      <c r="V12" s="8"/>
      <c r="W12" s="20">
        <f t="shared" si="3"/>
        <v>0</v>
      </c>
      <c r="X12" s="20">
        <f t="shared" si="4"/>
        <v>0</v>
      </c>
      <c r="Y12" s="10">
        <f t="shared" si="5"/>
        <v>0.187200013</v>
      </c>
      <c r="Z12" s="23">
        <f t="shared" si="9"/>
        <v>1.955757055960199E-2</v>
      </c>
    </row>
    <row r="13" spans="1:26" x14ac:dyDescent="0.3">
      <c r="A13" s="22" t="s">
        <v>93</v>
      </c>
      <c r="B13" s="5" t="s">
        <v>30</v>
      </c>
      <c r="C13" s="5">
        <v>4</v>
      </c>
      <c r="D13" s="6">
        <v>50</v>
      </c>
      <c r="E13" s="8">
        <v>69.819999999999993</v>
      </c>
      <c r="F13" s="21" t="s">
        <v>28</v>
      </c>
      <c r="G13" s="8">
        <v>1</v>
      </c>
      <c r="H13" s="8">
        <v>70.739999999999995</v>
      </c>
      <c r="I13" s="8">
        <v>69.58</v>
      </c>
      <c r="J13" s="8">
        <v>71.150000000000006</v>
      </c>
      <c r="K13" s="8">
        <v>40.414999999999999</v>
      </c>
      <c r="L13" s="8">
        <v>72.84</v>
      </c>
      <c r="M13" s="8">
        <v>69.419719999999998</v>
      </c>
      <c r="N13" s="8">
        <v>61.463123000000003</v>
      </c>
      <c r="O13" s="7">
        <f t="shared" si="10"/>
        <v>200</v>
      </c>
      <c r="P13" s="7">
        <f t="shared" si="11"/>
        <v>279.27999999999997</v>
      </c>
      <c r="Q13" s="3">
        <f t="shared" si="12"/>
        <v>79.279999999999973</v>
      </c>
      <c r="R13" s="4">
        <f t="shared" si="13"/>
        <v>0.39639999999999986</v>
      </c>
      <c r="S13" s="14"/>
      <c r="T13" s="16">
        <v>44316</v>
      </c>
      <c r="U13" s="15"/>
      <c r="V13" s="8">
        <v>3.3</v>
      </c>
      <c r="W13" s="20">
        <f t="shared" si="3"/>
        <v>4.7264394156402177E-2</v>
      </c>
      <c r="X13" s="20">
        <f t="shared" si="4"/>
        <v>6.6000000000000003E-2</v>
      </c>
      <c r="Y13" s="10">
        <f t="shared" si="5"/>
        <v>13.2</v>
      </c>
      <c r="Z13" s="23">
        <f t="shared" si="9"/>
        <v>4.4927779322382847E-3</v>
      </c>
    </row>
    <row r="14" spans="1:26" x14ac:dyDescent="0.3">
      <c r="A14" s="22" t="s">
        <v>94</v>
      </c>
      <c r="B14" s="5" t="s">
        <v>31</v>
      </c>
      <c r="C14" s="5">
        <v>30</v>
      </c>
      <c r="D14" s="6">
        <v>14</v>
      </c>
      <c r="E14" s="8">
        <v>16.4324521998</v>
      </c>
      <c r="F14" s="21" t="s">
        <v>34</v>
      </c>
      <c r="G14" s="8">
        <v>7.7310996000000002E-3</v>
      </c>
      <c r="H14" s="8">
        <v>16.405393351200001</v>
      </c>
      <c r="I14" s="8">
        <v>16.389931151999999</v>
      </c>
      <c r="J14" s="8">
        <v>16.521359845199999</v>
      </c>
      <c r="K14" s="8">
        <v>13.888920431400001</v>
      </c>
      <c r="L14" s="8">
        <v>17.2712765064</v>
      </c>
      <c r="M14" s="8">
        <v>15.545695075679999</v>
      </c>
      <c r="N14" s="8">
        <v>15.870865124856001</v>
      </c>
      <c r="O14" s="7">
        <f t="shared" si="10"/>
        <v>420</v>
      </c>
      <c r="P14" s="7">
        <f t="shared" si="11"/>
        <v>492.97356599400001</v>
      </c>
      <c r="Q14" s="3">
        <f t="shared" si="12"/>
        <v>72.973565994000012</v>
      </c>
      <c r="R14" s="4">
        <f t="shared" si="13"/>
        <v>0.17374658570000001</v>
      </c>
      <c r="S14" s="14">
        <v>0.88100000000000001</v>
      </c>
      <c r="T14" s="16">
        <v>44376</v>
      </c>
      <c r="U14" s="15"/>
      <c r="V14" s="8">
        <v>1.005042948</v>
      </c>
      <c r="W14" s="20">
        <f t="shared" si="3"/>
        <v>6.116207951070337E-2</v>
      </c>
      <c r="X14" s="20">
        <f t="shared" si="4"/>
        <v>7.1788782000000009E-2</v>
      </c>
      <c r="Y14" s="10">
        <f t="shared" si="5"/>
        <v>30.151288440000002</v>
      </c>
      <c r="Z14" s="23">
        <f t="shared" si="9"/>
        <v>7.9304667662369564E-3</v>
      </c>
    </row>
    <row r="15" spans="1:26" x14ac:dyDescent="0.3">
      <c r="A15" s="22"/>
      <c r="B15" s="5" t="s">
        <v>89</v>
      </c>
      <c r="C15" s="5">
        <v>7</v>
      </c>
      <c r="D15" s="6">
        <v>10</v>
      </c>
      <c r="E15" s="8"/>
      <c r="F15" s="21"/>
      <c r="G15" s="8"/>
      <c r="H15" s="8"/>
      <c r="I15" s="8"/>
      <c r="J15" s="8"/>
      <c r="K15" s="8"/>
      <c r="L15" s="8"/>
      <c r="M15" s="8"/>
      <c r="N15" s="8"/>
      <c r="O15" s="7">
        <f t="shared" ref="O15:O22" si="14">IFERROR(IF(C15&lt;&gt;"",C15*D15,""),"")</f>
        <v>70</v>
      </c>
      <c r="P15" s="7">
        <f t="shared" ref="P15:P22" si="15">IFERROR(E15*C15,"")</f>
        <v>0</v>
      </c>
      <c r="Q15" s="3">
        <f t="shared" ref="Q15:Q22" si="16">IFERROR(P15-O15,"")</f>
        <v>-70</v>
      </c>
      <c r="R15" s="4">
        <f t="shared" ref="R15:R22" si="17">IFERROR(P15/O15-1,"")</f>
        <v>-1</v>
      </c>
      <c r="S15" s="14"/>
      <c r="T15" s="16"/>
      <c r="U15" s="15"/>
      <c r="V15" s="8"/>
      <c r="W15" s="20" t="str">
        <f t="shared" si="3"/>
        <v/>
      </c>
      <c r="X15" s="20">
        <f t="shared" si="4"/>
        <v>0</v>
      </c>
      <c r="Y15" s="10">
        <f t="shared" si="5"/>
        <v>0</v>
      </c>
      <c r="Z15" s="23">
        <f t="shared" si="9"/>
        <v>0</v>
      </c>
    </row>
    <row r="16" spans="1:26" x14ac:dyDescent="0.3">
      <c r="A16" s="22" t="s">
        <v>95</v>
      </c>
      <c r="B16" s="5" t="s">
        <v>32</v>
      </c>
      <c r="C16" s="5">
        <v>10</v>
      </c>
      <c r="D16" s="6">
        <v>18</v>
      </c>
      <c r="E16" s="8">
        <v>17.585000000000001</v>
      </c>
      <c r="F16" s="21" t="s">
        <v>28</v>
      </c>
      <c r="G16" s="8">
        <v>1</v>
      </c>
      <c r="H16" s="8">
        <v>17.18</v>
      </c>
      <c r="I16" s="8">
        <v>17.18</v>
      </c>
      <c r="J16" s="8">
        <v>17.690000000000001</v>
      </c>
      <c r="K16" s="8">
        <v>13.45</v>
      </c>
      <c r="L16" s="8">
        <v>20.149999999999999</v>
      </c>
      <c r="M16" s="8">
        <v>16.788333999999999</v>
      </c>
      <c r="N16" s="8">
        <v>16.287188</v>
      </c>
      <c r="O16" s="7">
        <f t="shared" si="14"/>
        <v>180</v>
      </c>
      <c r="P16" s="7">
        <f t="shared" si="15"/>
        <v>175.85000000000002</v>
      </c>
      <c r="Q16" s="3">
        <f t="shared" si="16"/>
        <v>-4.1499999999999773</v>
      </c>
      <c r="R16" s="4">
        <f t="shared" si="17"/>
        <v>-2.3055555555555385E-2</v>
      </c>
      <c r="S16" s="14">
        <v>1.1746000000000001</v>
      </c>
      <c r="T16" s="16">
        <v>44245</v>
      </c>
      <c r="U16" s="15"/>
      <c r="V16" s="8">
        <v>2.2200000000000002</v>
      </c>
      <c r="W16" s="20">
        <f t="shared" si="3"/>
        <v>0.1262439579186807</v>
      </c>
      <c r="X16" s="20">
        <f t="shared" si="4"/>
        <v>0.12333333333333335</v>
      </c>
      <c r="Y16" s="10">
        <f t="shared" si="5"/>
        <v>22.200000000000003</v>
      </c>
      <c r="Z16" s="23">
        <f t="shared" si="9"/>
        <v>2.8288993103125987E-3</v>
      </c>
    </row>
    <row r="17" spans="1:26" x14ac:dyDescent="0.3">
      <c r="A17" s="22" t="s">
        <v>96</v>
      </c>
      <c r="B17" s="5" t="s">
        <v>33</v>
      </c>
      <c r="C17" s="5">
        <v>87</v>
      </c>
      <c r="D17" s="6">
        <v>50</v>
      </c>
      <c r="E17" s="8">
        <v>54.439293999999997</v>
      </c>
      <c r="F17" s="21" t="s">
        <v>27</v>
      </c>
      <c r="G17" s="8">
        <v>0.84770000000000001</v>
      </c>
      <c r="H17" s="8">
        <v>54.329093</v>
      </c>
      <c r="I17" s="8">
        <v>53.752656999999999</v>
      </c>
      <c r="J17" s="8">
        <v>54.752943000000002</v>
      </c>
      <c r="K17" s="8">
        <v>36.798656999999999</v>
      </c>
      <c r="L17" s="8">
        <v>56.626359999999998</v>
      </c>
      <c r="M17" s="8">
        <v>52.503147200000001</v>
      </c>
      <c r="N17" s="8">
        <v>51.845696511</v>
      </c>
      <c r="O17" s="7">
        <f t="shared" si="14"/>
        <v>4350</v>
      </c>
      <c r="P17" s="7">
        <f t="shared" si="15"/>
        <v>4736.218578</v>
      </c>
      <c r="Q17" s="3">
        <f t="shared" si="16"/>
        <v>386.21857799999998</v>
      </c>
      <c r="R17" s="4">
        <f t="shared" si="17"/>
        <v>8.8785880000000095E-2</v>
      </c>
      <c r="S17" s="14">
        <v>2.4569999999999999</v>
      </c>
      <c r="T17" s="16">
        <v>44286</v>
      </c>
      <c r="U17" s="15"/>
      <c r="V17" s="8">
        <v>2.390514</v>
      </c>
      <c r="W17" s="20">
        <f t="shared" si="3"/>
        <v>4.3911554033011529E-2</v>
      </c>
      <c r="X17" s="20">
        <f t="shared" si="4"/>
        <v>4.7810279999999997E-2</v>
      </c>
      <c r="Y17" s="10">
        <f t="shared" si="5"/>
        <v>207.974718</v>
      </c>
      <c r="Z17" s="23">
        <f t="shared" si="9"/>
        <v>7.6191557968688747E-2</v>
      </c>
    </row>
    <row r="18" spans="1:26" x14ac:dyDescent="0.3">
      <c r="A18" s="22" t="s">
        <v>97</v>
      </c>
      <c r="B18" s="5" t="s">
        <v>90</v>
      </c>
      <c r="C18" s="5">
        <v>23</v>
      </c>
      <c r="D18" s="6">
        <v>100</v>
      </c>
      <c r="E18" s="8">
        <v>200.46409599999998</v>
      </c>
      <c r="F18" s="21" t="s">
        <v>27</v>
      </c>
      <c r="G18" s="8">
        <v>0.84770000000000001</v>
      </c>
      <c r="H18" s="8">
        <v>196.28493500000002</v>
      </c>
      <c r="I18" s="8">
        <v>196.34427400000001</v>
      </c>
      <c r="J18" s="8">
        <v>200.65906700000002</v>
      </c>
      <c r="K18" s="8">
        <v>127.163477</v>
      </c>
      <c r="L18" s="8">
        <v>208.64440099999999</v>
      </c>
      <c r="M18" s="8">
        <v>200.269125</v>
      </c>
      <c r="N18" s="8">
        <v>187.26540700000001</v>
      </c>
      <c r="O18" s="7">
        <f t="shared" si="14"/>
        <v>2300</v>
      </c>
      <c r="P18" s="7">
        <f t="shared" si="15"/>
        <v>4610.6742079999995</v>
      </c>
      <c r="Q18" s="3">
        <f t="shared" si="16"/>
        <v>2310.6742079999995</v>
      </c>
      <c r="R18" s="4">
        <f t="shared" si="17"/>
        <v>1.0046409599999997</v>
      </c>
      <c r="S18" s="14">
        <v>0.31149998000000001</v>
      </c>
      <c r="T18" s="16">
        <v>44335</v>
      </c>
      <c r="U18" s="15"/>
      <c r="V18" s="8">
        <v>1.8988480000000001</v>
      </c>
      <c r="W18" s="20">
        <f t="shared" si="3"/>
        <v>9.4722598105548058E-3</v>
      </c>
      <c r="X18" s="20">
        <f t="shared" si="4"/>
        <v>1.8988480000000002E-2</v>
      </c>
      <c r="Y18" s="10">
        <f t="shared" si="5"/>
        <v>43.673504000000001</v>
      </c>
      <c r="Z18" s="23">
        <f t="shared" si="9"/>
        <v>7.4171925431261207E-2</v>
      </c>
    </row>
    <row r="19" spans="1:26" x14ac:dyDescent="0.3">
      <c r="A19" s="22"/>
      <c r="B19" s="5"/>
      <c r="C19" s="5"/>
      <c r="D19" s="6"/>
      <c r="E19" s="8"/>
      <c r="F19" s="8"/>
      <c r="G19" s="8"/>
      <c r="H19" s="8"/>
      <c r="I19" s="8"/>
      <c r="J19" s="8"/>
      <c r="K19" s="8"/>
      <c r="L19" s="8"/>
      <c r="M19" s="8"/>
      <c r="N19" s="8"/>
      <c r="O19" s="7" t="str">
        <f t="shared" si="14"/>
        <v/>
      </c>
      <c r="P19" s="7">
        <f t="shared" si="15"/>
        <v>0</v>
      </c>
      <c r="Q19" s="3" t="str">
        <f t="shared" si="16"/>
        <v/>
      </c>
      <c r="R19" s="4" t="str">
        <f t="shared" si="17"/>
        <v/>
      </c>
      <c r="S19" s="14"/>
      <c r="T19" s="16"/>
      <c r="U19" s="15"/>
      <c r="V19" s="8"/>
      <c r="W19" s="20" t="str">
        <f t="shared" si="3"/>
        <v/>
      </c>
      <c r="X19" s="20" t="str">
        <f t="shared" si="4"/>
        <v/>
      </c>
      <c r="Y19" s="10">
        <f t="shared" si="5"/>
        <v>0</v>
      </c>
      <c r="Z19" s="23">
        <f t="shared" si="9"/>
        <v>0</v>
      </c>
    </row>
    <row r="20" spans="1:26" x14ac:dyDescent="0.3">
      <c r="A20" s="22"/>
      <c r="B20" s="5"/>
      <c r="C20" s="5"/>
      <c r="D20" s="6"/>
      <c r="E20" s="8"/>
      <c r="F20" s="8"/>
      <c r="G20" s="8"/>
      <c r="H20" s="8"/>
      <c r="I20" s="8"/>
      <c r="J20" s="8"/>
      <c r="K20" s="8"/>
      <c r="L20" s="8"/>
      <c r="M20" s="8"/>
      <c r="N20" s="8"/>
      <c r="O20" s="7" t="str">
        <f t="shared" si="14"/>
        <v/>
      </c>
      <c r="P20" s="7">
        <f t="shared" si="15"/>
        <v>0</v>
      </c>
      <c r="Q20" s="3" t="str">
        <f t="shared" si="16"/>
        <v/>
      </c>
      <c r="R20" s="4" t="str">
        <f t="shared" si="17"/>
        <v/>
      </c>
      <c r="S20" s="14"/>
      <c r="T20" s="16"/>
      <c r="U20" s="15"/>
      <c r="V20" s="8"/>
      <c r="W20" s="20" t="str">
        <f t="shared" si="3"/>
        <v/>
      </c>
      <c r="X20" s="20" t="str">
        <f t="shared" si="4"/>
        <v/>
      </c>
      <c r="Y20" s="10">
        <f t="shared" si="5"/>
        <v>0</v>
      </c>
      <c r="Z20" s="23">
        <f t="shared" si="9"/>
        <v>0</v>
      </c>
    </row>
    <row r="21" spans="1:26" x14ac:dyDescent="0.3">
      <c r="A21" s="22"/>
      <c r="B21" s="5"/>
      <c r="C21" s="5"/>
      <c r="D21" s="6"/>
      <c r="E21" s="8"/>
      <c r="F21" s="8"/>
      <c r="G21" s="8"/>
      <c r="H21" s="8"/>
      <c r="I21" s="8"/>
      <c r="J21" s="8"/>
      <c r="K21" s="8"/>
      <c r="L21" s="8"/>
      <c r="M21" s="8"/>
      <c r="N21" s="8"/>
      <c r="O21" s="7" t="str">
        <f t="shared" si="14"/>
        <v/>
      </c>
      <c r="P21" s="7">
        <f t="shared" si="15"/>
        <v>0</v>
      </c>
      <c r="Q21" s="3" t="str">
        <f t="shared" si="16"/>
        <v/>
      </c>
      <c r="R21" s="4" t="str">
        <f t="shared" si="17"/>
        <v/>
      </c>
      <c r="S21" s="14"/>
      <c r="T21" s="16"/>
      <c r="U21" s="15"/>
      <c r="V21" s="8"/>
      <c r="W21" s="20" t="str">
        <f t="shared" si="3"/>
        <v/>
      </c>
      <c r="X21" s="20" t="str">
        <f t="shared" si="4"/>
        <v/>
      </c>
      <c r="Y21" s="10">
        <f t="shared" si="5"/>
        <v>0</v>
      </c>
      <c r="Z21" s="23">
        <f t="shared" si="9"/>
        <v>0</v>
      </c>
    </row>
    <row r="22" spans="1:26" x14ac:dyDescent="0.3">
      <c r="A22" s="22"/>
      <c r="B22" s="5"/>
      <c r="C22" s="5"/>
      <c r="D22" s="6"/>
      <c r="E22" s="8"/>
      <c r="F22" s="8"/>
      <c r="G22" s="8"/>
      <c r="H22" s="8"/>
      <c r="I22" s="8"/>
      <c r="J22" s="8"/>
      <c r="K22" s="8"/>
      <c r="L22" s="8"/>
      <c r="M22" s="8"/>
      <c r="N22" s="8"/>
      <c r="O22" s="7" t="str">
        <f t="shared" si="14"/>
        <v/>
      </c>
      <c r="P22" s="7">
        <f t="shared" si="15"/>
        <v>0</v>
      </c>
      <c r="Q22" s="3" t="str">
        <f t="shared" si="16"/>
        <v/>
      </c>
      <c r="R22" s="4" t="str">
        <f t="shared" si="17"/>
        <v/>
      </c>
      <c r="S22" s="14"/>
      <c r="T22" s="16"/>
      <c r="U22" s="15"/>
      <c r="V22" s="8"/>
      <c r="W22" s="20" t="str">
        <f t="shared" si="3"/>
        <v/>
      </c>
      <c r="X22" s="20" t="str">
        <f t="shared" si="4"/>
        <v/>
      </c>
      <c r="Y22" s="10">
        <f t="shared" si="5"/>
        <v>0</v>
      </c>
      <c r="Z22" s="23">
        <f t="shared" si="9"/>
        <v>0</v>
      </c>
    </row>
    <row r="23" spans="1:26" x14ac:dyDescent="0.3">
      <c r="A23" s="22"/>
      <c r="B23" s="5"/>
      <c r="C23" s="5"/>
      <c r="D23" s="6"/>
      <c r="E23" s="8"/>
      <c r="F23" s="8"/>
      <c r="G23" s="8"/>
      <c r="H23" s="8"/>
      <c r="I23" s="8"/>
      <c r="J23" s="8"/>
      <c r="K23" s="8"/>
      <c r="L23" s="8"/>
      <c r="M23" s="8"/>
      <c r="N23" s="8"/>
      <c r="O23" s="7" t="str">
        <f t="shared" ref="O23:O25" si="18">IFERROR(IF(C23&lt;&gt;"",C23*D23,""),"")</f>
        <v/>
      </c>
      <c r="P23" s="7">
        <f t="shared" ref="P23:P25" si="19">IFERROR(E23*C23,"")</f>
        <v>0</v>
      </c>
      <c r="Q23" s="3" t="str">
        <f t="shared" ref="Q23:Q25" si="20">IFERROR(P23-O23,"")</f>
        <v/>
      </c>
      <c r="R23" s="4" t="str">
        <f t="shared" ref="R23:R25" si="21">IFERROR(P23/O23-1,"")</f>
        <v/>
      </c>
      <c r="S23" s="14"/>
      <c r="T23" s="16"/>
      <c r="U23" s="15"/>
      <c r="V23" s="8"/>
      <c r="W23" s="20" t="str">
        <f t="shared" ref="W23:W25" si="22">IFERROR(V23/E23,"")</f>
        <v/>
      </c>
      <c r="X23" s="20" t="str">
        <f t="shared" ref="X23:X25" si="23">IFERROR((V23*C23)/O23,"")</f>
        <v/>
      </c>
      <c r="Y23" s="10">
        <f t="shared" ref="Y23:Y25" si="24">IFERROR(+IF(V23&lt;&gt;"",V23*C23,U23*C23),"")</f>
        <v>0</v>
      </c>
      <c r="Z23" s="23">
        <f t="shared" si="9"/>
        <v>0</v>
      </c>
    </row>
    <row r="24" spans="1:26" x14ac:dyDescent="0.3">
      <c r="A24" s="22"/>
      <c r="B24" s="5"/>
      <c r="C24" s="5"/>
      <c r="D24" s="6"/>
      <c r="E24" s="8"/>
      <c r="F24" s="8"/>
      <c r="G24" s="8"/>
      <c r="H24" s="8"/>
      <c r="I24" s="8"/>
      <c r="J24" s="8"/>
      <c r="K24" s="8"/>
      <c r="L24" s="8"/>
      <c r="M24" s="8"/>
      <c r="N24" s="8"/>
      <c r="O24" s="7" t="str">
        <f t="shared" si="18"/>
        <v/>
      </c>
      <c r="P24" s="7">
        <f t="shared" si="19"/>
        <v>0</v>
      </c>
      <c r="Q24" s="3" t="str">
        <f t="shared" si="20"/>
        <v/>
      </c>
      <c r="R24" s="4" t="str">
        <f t="shared" si="21"/>
        <v/>
      </c>
      <c r="S24" s="14"/>
      <c r="T24" s="16"/>
      <c r="U24" s="15"/>
      <c r="V24" s="8"/>
      <c r="W24" s="20" t="str">
        <f t="shared" si="22"/>
        <v/>
      </c>
      <c r="X24" s="20" t="str">
        <f t="shared" si="23"/>
        <v/>
      </c>
      <c r="Y24" s="10">
        <f t="shared" si="24"/>
        <v>0</v>
      </c>
      <c r="Z24" s="23">
        <f t="shared" si="9"/>
        <v>0</v>
      </c>
    </row>
    <row r="25" spans="1:26" x14ac:dyDescent="0.3">
      <c r="A25" s="22"/>
      <c r="B25" s="5"/>
      <c r="C25" s="5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7" t="str">
        <f t="shared" si="18"/>
        <v/>
      </c>
      <c r="P25" s="7">
        <f t="shared" si="19"/>
        <v>0</v>
      </c>
      <c r="Q25" s="3" t="str">
        <f t="shared" si="20"/>
        <v/>
      </c>
      <c r="R25" s="4" t="str">
        <f t="shared" si="21"/>
        <v/>
      </c>
      <c r="S25" s="14"/>
      <c r="T25" s="16"/>
      <c r="U25" s="15"/>
      <c r="V25" s="8"/>
      <c r="W25" s="20" t="str">
        <f t="shared" si="22"/>
        <v/>
      </c>
      <c r="X25" s="20" t="str">
        <f t="shared" si="23"/>
        <v/>
      </c>
      <c r="Y25" s="10">
        <f t="shared" si="24"/>
        <v>0</v>
      </c>
      <c r="Z25" s="23">
        <f t="shared" si="9"/>
        <v>0</v>
      </c>
    </row>
    <row r="26" spans="1:26" x14ac:dyDescent="0.3">
      <c r="A26" s="22"/>
      <c r="B26" s="5"/>
      <c r="C26" s="5"/>
      <c r="D26" s="6"/>
      <c r="E26" s="8"/>
      <c r="F26" s="8"/>
      <c r="G26" s="8"/>
      <c r="H26" s="8"/>
      <c r="I26" s="8"/>
      <c r="J26" s="8"/>
      <c r="K26" s="8"/>
      <c r="L26" s="8"/>
      <c r="M26" s="8"/>
      <c r="N26" s="8"/>
      <c r="O26" s="7" t="str">
        <f t="shared" ref="O26:O50" si="25">IFERROR(IF(C26&lt;&gt;"",C26*D26,""),"")</f>
        <v/>
      </c>
      <c r="P26" s="7">
        <f t="shared" ref="P26:P50" si="26">IFERROR(E26*C26,"")</f>
        <v>0</v>
      </c>
      <c r="Q26" s="3" t="str">
        <f t="shared" ref="Q26:Q50" si="27">IFERROR(P26-O26,"")</f>
        <v/>
      </c>
      <c r="R26" s="4" t="str">
        <f t="shared" ref="R26:R50" si="28">IFERROR(P26/O26-1,"")</f>
        <v/>
      </c>
      <c r="S26" s="14"/>
      <c r="T26" s="16"/>
      <c r="U26" s="15"/>
      <c r="V26" s="8"/>
      <c r="W26" s="20" t="str">
        <f t="shared" ref="W26:W50" si="29">IFERROR(V26/E26,"")</f>
        <v/>
      </c>
      <c r="X26" s="20" t="str">
        <f t="shared" ref="X26:X50" si="30">IFERROR((V26*C26)/O26,"")</f>
        <v/>
      </c>
      <c r="Y26" s="10">
        <f t="shared" ref="Y26:Y50" si="31">IFERROR(+IF(V26&lt;&gt;"",V26*C26,U26*C26),"")</f>
        <v>0</v>
      </c>
      <c r="Z26" s="23">
        <f t="shared" si="9"/>
        <v>0</v>
      </c>
    </row>
    <row r="27" spans="1:26" x14ac:dyDescent="0.3">
      <c r="A27" s="22"/>
      <c r="B27" s="5"/>
      <c r="C27" s="5"/>
      <c r="D27" s="6"/>
      <c r="E27" s="8"/>
      <c r="F27" s="8"/>
      <c r="G27" s="8"/>
      <c r="H27" s="8"/>
      <c r="I27" s="8"/>
      <c r="J27" s="8"/>
      <c r="K27" s="8"/>
      <c r="L27" s="8"/>
      <c r="M27" s="8"/>
      <c r="N27" s="8"/>
      <c r="O27" s="7" t="str">
        <f t="shared" si="25"/>
        <v/>
      </c>
      <c r="P27" s="7">
        <f t="shared" si="26"/>
        <v>0</v>
      </c>
      <c r="Q27" s="3" t="str">
        <f t="shared" si="27"/>
        <v/>
      </c>
      <c r="R27" s="4" t="str">
        <f t="shared" si="28"/>
        <v/>
      </c>
      <c r="S27" s="14"/>
      <c r="T27" s="16"/>
      <c r="U27" s="15"/>
      <c r="V27" s="8"/>
      <c r="W27" s="20" t="str">
        <f t="shared" si="29"/>
        <v/>
      </c>
      <c r="X27" s="20" t="str">
        <f t="shared" si="30"/>
        <v/>
      </c>
      <c r="Y27" s="10">
        <f t="shared" si="31"/>
        <v>0</v>
      </c>
      <c r="Z27" s="23">
        <f t="shared" si="9"/>
        <v>0</v>
      </c>
    </row>
    <row r="28" spans="1:26" x14ac:dyDescent="0.3">
      <c r="A28" s="22"/>
      <c r="B28" s="5"/>
      <c r="C28" s="5"/>
      <c r="D28" s="6"/>
      <c r="E28" s="8"/>
      <c r="F28" s="8"/>
      <c r="G28" s="8"/>
      <c r="H28" s="8"/>
      <c r="I28" s="8"/>
      <c r="J28" s="8"/>
      <c r="K28" s="8"/>
      <c r="L28" s="8"/>
      <c r="M28" s="8"/>
      <c r="N28" s="8"/>
      <c r="O28" s="7" t="str">
        <f t="shared" si="25"/>
        <v/>
      </c>
      <c r="P28" s="7">
        <f t="shared" si="26"/>
        <v>0</v>
      </c>
      <c r="Q28" s="3" t="str">
        <f t="shared" si="27"/>
        <v/>
      </c>
      <c r="R28" s="4" t="str">
        <f t="shared" si="28"/>
        <v/>
      </c>
      <c r="S28" s="14"/>
      <c r="T28" s="16"/>
      <c r="U28" s="15"/>
      <c r="V28" s="8"/>
      <c r="W28" s="20" t="str">
        <f t="shared" si="29"/>
        <v/>
      </c>
      <c r="X28" s="20" t="str">
        <f t="shared" si="30"/>
        <v/>
      </c>
      <c r="Y28" s="10">
        <f t="shared" si="31"/>
        <v>0</v>
      </c>
      <c r="Z28" s="23">
        <f t="shared" si="9"/>
        <v>0</v>
      </c>
    </row>
    <row r="29" spans="1:26" x14ac:dyDescent="0.3">
      <c r="A29" s="22"/>
      <c r="B29" s="5"/>
      <c r="C29" s="5"/>
      <c r="D29" s="6"/>
      <c r="E29" s="8"/>
      <c r="F29" s="8"/>
      <c r="G29" s="8"/>
      <c r="H29" s="8"/>
      <c r="I29" s="8"/>
      <c r="J29" s="8"/>
      <c r="K29" s="8"/>
      <c r="L29" s="8"/>
      <c r="M29" s="8"/>
      <c r="N29" s="8"/>
      <c r="O29" s="7" t="str">
        <f t="shared" si="25"/>
        <v/>
      </c>
      <c r="P29" s="7">
        <f t="shared" si="26"/>
        <v>0</v>
      </c>
      <c r="Q29" s="3" t="str">
        <f t="shared" si="27"/>
        <v/>
      </c>
      <c r="R29" s="4" t="str">
        <f t="shared" si="28"/>
        <v/>
      </c>
      <c r="S29" s="14"/>
      <c r="T29" s="16"/>
      <c r="U29" s="15"/>
      <c r="V29" s="8"/>
      <c r="W29" s="20" t="str">
        <f t="shared" si="29"/>
        <v/>
      </c>
      <c r="X29" s="20" t="str">
        <f t="shared" si="30"/>
        <v/>
      </c>
      <c r="Y29" s="10">
        <f t="shared" si="31"/>
        <v>0</v>
      </c>
      <c r="Z29" s="23">
        <f t="shared" si="9"/>
        <v>0</v>
      </c>
    </row>
    <row r="30" spans="1:26" x14ac:dyDescent="0.3">
      <c r="A30" s="22"/>
      <c r="B30" s="5"/>
      <c r="C30" s="5"/>
      <c r="D30" s="6"/>
      <c r="E30" s="8"/>
      <c r="F30" s="8"/>
      <c r="G30" s="8"/>
      <c r="H30" s="8"/>
      <c r="I30" s="8"/>
      <c r="J30" s="8"/>
      <c r="K30" s="8"/>
      <c r="L30" s="8"/>
      <c r="M30" s="8"/>
      <c r="N30" s="8"/>
      <c r="O30" s="7" t="str">
        <f t="shared" si="25"/>
        <v/>
      </c>
      <c r="P30" s="7">
        <f t="shared" si="26"/>
        <v>0</v>
      </c>
      <c r="Q30" s="3" t="str">
        <f t="shared" si="27"/>
        <v/>
      </c>
      <c r="R30" s="4" t="str">
        <f t="shared" si="28"/>
        <v/>
      </c>
      <c r="S30" s="14"/>
      <c r="T30" s="16"/>
      <c r="U30" s="15"/>
      <c r="V30" s="8"/>
      <c r="W30" s="20" t="str">
        <f t="shared" si="29"/>
        <v/>
      </c>
      <c r="X30" s="20" t="str">
        <f t="shared" si="30"/>
        <v/>
      </c>
      <c r="Y30" s="10">
        <f t="shared" si="31"/>
        <v>0</v>
      </c>
      <c r="Z30" s="23">
        <f t="shared" si="9"/>
        <v>0</v>
      </c>
    </row>
    <row r="31" spans="1:26" x14ac:dyDescent="0.3">
      <c r="A31" s="22"/>
      <c r="B31" s="5"/>
      <c r="C31" s="5"/>
      <c r="D31" s="6"/>
      <c r="E31" s="8"/>
      <c r="F31" s="8"/>
      <c r="G31" s="8"/>
      <c r="H31" s="8"/>
      <c r="I31" s="8"/>
      <c r="J31" s="8"/>
      <c r="K31" s="8"/>
      <c r="L31" s="8"/>
      <c r="M31" s="8"/>
      <c r="N31" s="8"/>
      <c r="O31" s="7" t="str">
        <f t="shared" si="25"/>
        <v/>
      </c>
      <c r="P31" s="7">
        <f t="shared" si="26"/>
        <v>0</v>
      </c>
      <c r="Q31" s="3" t="str">
        <f t="shared" si="27"/>
        <v/>
      </c>
      <c r="R31" s="4" t="str">
        <f t="shared" si="28"/>
        <v/>
      </c>
      <c r="S31" s="14"/>
      <c r="T31" s="16"/>
      <c r="U31" s="15"/>
      <c r="V31" s="8"/>
      <c r="W31" s="20" t="str">
        <f t="shared" si="29"/>
        <v/>
      </c>
      <c r="X31" s="20" t="str">
        <f t="shared" si="30"/>
        <v/>
      </c>
      <c r="Y31" s="10">
        <f t="shared" si="31"/>
        <v>0</v>
      </c>
      <c r="Z31" s="23">
        <f t="shared" si="9"/>
        <v>0</v>
      </c>
    </row>
    <row r="32" spans="1:26" x14ac:dyDescent="0.3">
      <c r="A32" s="22"/>
      <c r="B32" s="5"/>
      <c r="C32" s="5"/>
      <c r="D32" s="6"/>
      <c r="E32" s="8"/>
      <c r="F32" s="8"/>
      <c r="G32" s="8"/>
      <c r="H32" s="8"/>
      <c r="I32" s="8"/>
      <c r="J32" s="8"/>
      <c r="K32" s="8"/>
      <c r="L32" s="8"/>
      <c r="M32" s="8"/>
      <c r="N32" s="8"/>
      <c r="O32" s="7" t="str">
        <f t="shared" si="25"/>
        <v/>
      </c>
      <c r="P32" s="7">
        <f t="shared" si="26"/>
        <v>0</v>
      </c>
      <c r="Q32" s="3" t="str">
        <f t="shared" si="27"/>
        <v/>
      </c>
      <c r="R32" s="4" t="str">
        <f t="shared" si="28"/>
        <v/>
      </c>
      <c r="S32" s="14"/>
      <c r="T32" s="16"/>
      <c r="U32" s="15"/>
      <c r="V32" s="8"/>
      <c r="W32" s="20" t="str">
        <f t="shared" si="29"/>
        <v/>
      </c>
      <c r="X32" s="20" t="str">
        <f t="shared" si="30"/>
        <v/>
      </c>
      <c r="Y32" s="10">
        <f t="shared" si="31"/>
        <v>0</v>
      </c>
      <c r="Z32" s="23">
        <f t="shared" si="9"/>
        <v>0</v>
      </c>
    </row>
    <row r="33" spans="1:26" x14ac:dyDescent="0.3">
      <c r="A33" s="22"/>
      <c r="B33" s="5"/>
      <c r="C33" s="5"/>
      <c r="D33" s="6"/>
      <c r="E33" s="8"/>
      <c r="F33" s="8"/>
      <c r="G33" s="8"/>
      <c r="H33" s="8"/>
      <c r="I33" s="8"/>
      <c r="J33" s="8"/>
      <c r="K33" s="8"/>
      <c r="L33" s="8"/>
      <c r="M33" s="8"/>
      <c r="N33" s="8"/>
      <c r="O33" s="7" t="str">
        <f t="shared" si="25"/>
        <v/>
      </c>
      <c r="P33" s="7">
        <f t="shared" si="26"/>
        <v>0</v>
      </c>
      <c r="Q33" s="3" t="str">
        <f t="shared" si="27"/>
        <v/>
      </c>
      <c r="R33" s="4" t="str">
        <f t="shared" si="28"/>
        <v/>
      </c>
      <c r="S33" s="14"/>
      <c r="T33" s="16"/>
      <c r="U33" s="15"/>
      <c r="V33" s="8"/>
      <c r="W33" s="20" t="str">
        <f t="shared" si="29"/>
        <v/>
      </c>
      <c r="X33" s="20" t="str">
        <f t="shared" si="30"/>
        <v/>
      </c>
      <c r="Y33" s="10">
        <f t="shared" si="31"/>
        <v>0</v>
      </c>
      <c r="Z33" s="23">
        <f t="shared" si="9"/>
        <v>0</v>
      </c>
    </row>
    <row r="34" spans="1:26" x14ac:dyDescent="0.3">
      <c r="A34" s="22"/>
      <c r="B34" s="5"/>
      <c r="C34" s="5"/>
      <c r="D34" s="6"/>
      <c r="E34" s="8"/>
      <c r="F34" s="8"/>
      <c r="G34" s="8"/>
      <c r="H34" s="8"/>
      <c r="I34" s="8"/>
      <c r="J34" s="8"/>
      <c r="K34" s="8"/>
      <c r="L34" s="8"/>
      <c r="M34" s="8"/>
      <c r="N34" s="8"/>
      <c r="O34" s="7" t="str">
        <f t="shared" si="25"/>
        <v/>
      </c>
      <c r="P34" s="7">
        <f t="shared" si="26"/>
        <v>0</v>
      </c>
      <c r="Q34" s="3" t="str">
        <f t="shared" si="27"/>
        <v/>
      </c>
      <c r="R34" s="4" t="str">
        <f t="shared" si="28"/>
        <v/>
      </c>
      <c r="S34" s="14"/>
      <c r="T34" s="16"/>
      <c r="U34" s="15"/>
      <c r="V34" s="8"/>
      <c r="W34" s="20" t="str">
        <f t="shared" si="29"/>
        <v/>
      </c>
      <c r="X34" s="20" t="str">
        <f t="shared" si="30"/>
        <v/>
      </c>
      <c r="Y34" s="10">
        <f t="shared" si="31"/>
        <v>0</v>
      </c>
      <c r="Z34" s="23">
        <f t="shared" si="9"/>
        <v>0</v>
      </c>
    </row>
    <row r="35" spans="1:26" x14ac:dyDescent="0.3">
      <c r="A35" s="22"/>
      <c r="B35" s="5"/>
      <c r="C35" s="5"/>
      <c r="D35" s="6"/>
      <c r="E35" s="8"/>
      <c r="F35" s="8"/>
      <c r="G35" s="8"/>
      <c r="H35" s="8"/>
      <c r="I35" s="8"/>
      <c r="J35" s="8"/>
      <c r="K35" s="8"/>
      <c r="L35" s="8"/>
      <c r="M35" s="8"/>
      <c r="N35" s="8"/>
      <c r="O35" s="7" t="str">
        <f t="shared" si="25"/>
        <v/>
      </c>
      <c r="P35" s="7">
        <f t="shared" si="26"/>
        <v>0</v>
      </c>
      <c r="Q35" s="3" t="str">
        <f t="shared" si="27"/>
        <v/>
      </c>
      <c r="R35" s="4" t="str">
        <f t="shared" si="28"/>
        <v/>
      </c>
      <c r="S35" s="14"/>
      <c r="T35" s="16"/>
      <c r="U35" s="15"/>
      <c r="V35" s="8"/>
      <c r="W35" s="20" t="str">
        <f t="shared" si="29"/>
        <v/>
      </c>
      <c r="X35" s="20" t="str">
        <f t="shared" si="30"/>
        <v/>
      </c>
      <c r="Y35" s="10">
        <f t="shared" si="31"/>
        <v>0</v>
      </c>
      <c r="Z35" s="23">
        <f t="shared" si="9"/>
        <v>0</v>
      </c>
    </row>
    <row r="36" spans="1:26" x14ac:dyDescent="0.3">
      <c r="A36" s="22"/>
      <c r="B36" s="5"/>
      <c r="C36" s="5"/>
      <c r="D36" s="6"/>
      <c r="E36" s="8"/>
      <c r="F36" s="8"/>
      <c r="G36" s="8"/>
      <c r="H36" s="8"/>
      <c r="I36" s="8"/>
      <c r="J36" s="8"/>
      <c r="K36" s="8"/>
      <c r="L36" s="8"/>
      <c r="M36" s="8"/>
      <c r="N36" s="8"/>
      <c r="O36" s="7" t="str">
        <f t="shared" si="25"/>
        <v/>
      </c>
      <c r="P36" s="7">
        <f t="shared" si="26"/>
        <v>0</v>
      </c>
      <c r="Q36" s="3" t="str">
        <f t="shared" si="27"/>
        <v/>
      </c>
      <c r="R36" s="4" t="str">
        <f t="shared" si="28"/>
        <v/>
      </c>
      <c r="S36" s="14"/>
      <c r="T36" s="16"/>
      <c r="U36" s="15"/>
      <c r="V36" s="8"/>
      <c r="W36" s="20" t="str">
        <f t="shared" si="29"/>
        <v/>
      </c>
      <c r="X36" s="20" t="str">
        <f t="shared" si="30"/>
        <v/>
      </c>
      <c r="Y36" s="10">
        <f t="shared" si="31"/>
        <v>0</v>
      </c>
      <c r="Z36" s="23">
        <f t="shared" si="9"/>
        <v>0</v>
      </c>
    </row>
    <row r="37" spans="1:26" x14ac:dyDescent="0.3">
      <c r="A37" s="22"/>
      <c r="B37" s="5"/>
      <c r="C37" s="5"/>
      <c r="D37" s="6"/>
      <c r="E37" s="8"/>
      <c r="F37" s="8"/>
      <c r="G37" s="8"/>
      <c r="H37" s="8"/>
      <c r="I37" s="8"/>
      <c r="J37" s="8"/>
      <c r="K37" s="8"/>
      <c r="L37" s="8"/>
      <c r="M37" s="8"/>
      <c r="N37" s="8"/>
      <c r="O37" s="7" t="str">
        <f t="shared" si="25"/>
        <v/>
      </c>
      <c r="P37" s="7">
        <f t="shared" si="26"/>
        <v>0</v>
      </c>
      <c r="Q37" s="3" t="str">
        <f t="shared" si="27"/>
        <v/>
      </c>
      <c r="R37" s="4" t="str">
        <f t="shared" si="28"/>
        <v/>
      </c>
      <c r="S37" s="14"/>
      <c r="T37" s="16"/>
      <c r="U37" s="15"/>
      <c r="V37" s="8"/>
      <c r="W37" s="20" t="str">
        <f t="shared" si="29"/>
        <v/>
      </c>
      <c r="X37" s="20" t="str">
        <f t="shared" si="30"/>
        <v/>
      </c>
      <c r="Y37" s="10">
        <f t="shared" si="31"/>
        <v>0</v>
      </c>
      <c r="Z37" s="23">
        <f t="shared" si="9"/>
        <v>0</v>
      </c>
    </row>
    <row r="38" spans="1:26" x14ac:dyDescent="0.3">
      <c r="A38" s="22"/>
      <c r="B38" s="5"/>
      <c r="C38" s="5"/>
      <c r="D38" s="6"/>
      <c r="E38" s="8"/>
      <c r="F38" s="8"/>
      <c r="G38" s="8"/>
      <c r="H38" s="8"/>
      <c r="I38" s="8"/>
      <c r="J38" s="8"/>
      <c r="K38" s="8"/>
      <c r="L38" s="8"/>
      <c r="M38" s="8"/>
      <c r="N38" s="8"/>
      <c r="O38" s="7" t="str">
        <f t="shared" si="25"/>
        <v/>
      </c>
      <c r="P38" s="7">
        <f t="shared" si="26"/>
        <v>0</v>
      </c>
      <c r="Q38" s="3" t="str">
        <f t="shared" si="27"/>
        <v/>
      </c>
      <c r="R38" s="4" t="str">
        <f t="shared" si="28"/>
        <v/>
      </c>
      <c r="S38" s="14"/>
      <c r="T38" s="16"/>
      <c r="U38" s="15"/>
      <c r="V38" s="8"/>
      <c r="W38" s="20" t="str">
        <f t="shared" si="29"/>
        <v/>
      </c>
      <c r="X38" s="20" t="str">
        <f t="shared" si="30"/>
        <v/>
      </c>
      <c r="Y38" s="10">
        <f t="shared" si="31"/>
        <v>0</v>
      </c>
      <c r="Z38" s="23">
        <f t="shared" si="9"/>
        <v>0</v>
      </c>
    </row>
    <row r="39" spans="1:26" x14ac:dyDescent="0.3">
      <c r="A39" s="22"/>
      <c r="B39" s="5"/>
      <c r="C39" s="5"/>
      <c r="D39" s="6"/>
      <c r="E39" s="8"/>
      <c r="F39" s="8"/>
      <c r="G39" s="8"/>
      <c r="H39" s="8"/>
      <c r="I39" s="8"/>
      <c r="J39" s="8"/>
      <c r="K39" s="8"/>
      <c r="L39" s="8"/>
      <c r="M39" s="8"/>
      <c r="N39" s="8"/>
      <c r="O39" s="7" t="str">
        <f t="shared" si="25"/>
        <v/>
      </c>
      <c r="P39" s="7">
        <f t="shared" si="26"/>
        <v>0</v>
      </c>
      <c r="Q39" s="3" t="str">
        <f t="shared" si="27"/>
        <v/>
      </c>
      <c r="R39" s="4" t="str">
        <f t="shared" si="28"/>
        <v/>
      </c>
      <c r="S39" s="14"/>
      <c r="T39" s="16"/>
      <c r="U39" s="15"/>
      <c r="V39" s="8"/>
      <c r="W39" s="20" t="str">
        <f t="shared" si="29"/>
        <v/>
      </c>
      <c r="X39" s="20" t="str">
        <f t="shared" si="30"/>
        <v/>
      </c>
      <c r="Y39" s="10">
        <f t="shared" si="31"/>
        <v>0</v>
      </c>
      <c r="Z39" s="23">
        <f t="shared" si="9"/>
        <v>0</v>
      </c>
    </row>
    <row r="40" spans="1:26" x14ac:dyDescent="0.3">
      <c r="A40" s="22"/>
      <c r="B40" s="5"/>
      <c r="C40" s="5"/>
      <c r="D40" s="6"/>
      <c r="E40" s="8"/>
      <c r="F40" s="8"/>
      <c r="G40" s="8"/>
      <c r="H40" s="8"/>
      <c r="I40" s="8"/>
      <c r="J40" s="8"/>
      <c r="K40" s="8"/>
      <c r="L40" s="8"/>
      <c r="M40" s="8"/>
      <c r="N40" s="8"/>
      <c r="O40" s="7" t="str">
        <f t="shared" si="25"/>
        <v/>
      </c>
      <c r="P40" s="7">
        <f t="shared" si="26"/>
        <v>0</v>
      </c>
      <c r="Q40" s="3" t="str">
        <f t="shared" si="27"/>
        <v/>
      </c>
      <c r="R40" s="4" t="str">
        <f t="shared" si="28"/>
        <v/>
      </c>
      <c r="S40" s="14"/>
      <c r="T40" s="16"/>
      <c r="U40" s="15"/>
      <c r="V40" s="8"/>
      <c r="W40" s="20" t="str">
        <f t="shared" si="29"/>
        <v/>
      </c>
      <c r="X40" s="20" t="str">
        <f t="shared" si="30"/>
        <v/>
      </c>
      <c r="Y40" s="10">
        <f t="shared" si="31"/>
        <v>0</v>
      </c>
      <c r="Z40" s="23">
        <f t="shared" si="9"/>
        <v>0</v>
      </c>
    </row>
    <row r="41" spans="1:26" x14ac:dyDescent="0.3">
      <c r="A41" s="22"/>
      <c r="B41" s="5"/>
      <c r="C41" s="5"/>
      <c r="D41" s="6"/>
      <c r="E41" s="8"/>
      <c r="F41" s="8"/>
      <c r="G41" s="8"/>
      <c r="H41" s="8"/>
      <c r="I41" s="8"/>
      <c r="J41" s="8"/>
      <c r="K41" s="8"/>
      <c r="L41" s="8"/>
      <c r="M41" s="8"/>
      <c r="N41" s="8"/>
      <c r="O41" s="7" t="str">
        <f t="shared" si="25"/>
        <v/>
      </c>
      <c r="P41" s="7">
        <f t="shared" si="26"/>
        <v>0</v>
      </c>
      <c r="Q41" s="3" t="str">
        <f t="shared" si="27"/>
        <v/>
      </c>
      <c r="R41" s="4" t="str">
        <f t="shared" si="28"/>
        <v/>
      </c>
      <c r="S41" s="14"/>
      <c r="T41" s="16"/>
      <c r="U41" s="15"/>
      <c r="V41" s="8"/>
      <c r="W41" s="20" t="str">
        <f t="shared" si="29"/>
        <v/>
      </c>
      <c r="X41" s="20" t="str">
        <f t="shared" si="30"/>
        <v/>
      </c>
      <c r="Y41" s="10">
        <f t="shared" si="31"/>
        <v>0</v>
      </c>
      <c r="Z41" s="23">
        <f t="shared" si="9"/>
        <v>0</v>
      </c>
    </row>
    <row r="42" spans="1:26" x14ac:dyDescent="0.3">
      <c r="A42" s="22"/>
      <c r="B42" s="5"/>
      <c r="C42" s="5"/>
      <c r="D42" s="6"/>
      <c r="E42" s="8"/>
      <c r="F42" s="8"/>
      <c r="G42" s="8"/>
      <c r="H42" s="8"/>
      <c r="I42" s="8"/>
      <c r="J42" s="8"/>
      <c r="K42" s="8"/>
      <c r="L42" s="8"/>
      <c r="M42" s="8"/>
      <c r="N42" s="8"/>
      <c r="O42" s="7" t="str">
        <f t="shared" si="25"/>
        <v/>
      </c>
      <c r="P42" s="7">
        <f t="shared" si="26"/>
        <v>0</v>
      </c>
      <c r="Q42" s="3" t="str">
        <f t="shared" si="27"/>
        <v/>
      </c>
      <c r="R42" s="4" t="str">
        <f t="shared" si="28"/>
        <v/>
      </c>
      <c r="S42" s="14"/>
      <c r="T42" s="16"/>
      <c r="U42" s="15"/>
      <c r="V42" s="8"/>
      <c r="W42" s="20" t="str">
        <f t="shared" si="29"/>
        <v/>
      </c>
      <c r="X42" s="20" t="str">
        <f t="shared" si="30"/>
        <v/>
      </c>
      <c r="Y42" s="10">
        <f t="shared" si="31"/>
        <v>0</v>
      </c>
      <c r="Z42" s="23">
        <f t="shared" si="9"/>
        <v>0</v>
      </c>
    </row>
    <row r="43" spans="1:26" x14ac:dyDescent="0.3">
      <c r="A43" s="22"/>
      <c r="B43" s="5"/>
      <c r="C43" s="5"/>
      <c r="D43" s="6"/>
      <c r="E43" s="8"/>
      <c r="F43" s="8"/>
      <c r="G43" s="8"/>
      <c r="H43" s="8"/>
      <c r="I43" s="8"/>
      <c r="J43" s="8"/>
      <c r="K43" s="8"/>
      <c r="L43" s="8"/>
      <c r="M43" s="8"/>
      <c r="N43" s="8"/>
      <c r="O43" s="7" t="str">
        <f t="shared" si="25"/>
        <v/>
      </c>
      <c r="P43" s="7">
        <f t="shared" si="26"/>
        <v>0</v>
      </c>
      <c r="Q43" s="3" t="str">
        <f t="shared" si="27"/>
        <v/>
      </c>
      <c r="R43" s="4" t="str">
        <f t="shared" si="28"/>
        <v/>
      </c>
      <c r="S43" s="14"/>
      <c r="T43" s="16"/>
      <c r="U43" s="15"/>
      <c r="V43" s="8"/>
      <c r="W43" s="20" t="str">
        <f t="shared" si="29"/>
        <v/>
      </c>
      <c r="X43" s="20" t="str">
        <f t="shared" si="30"/>
        <v/>
      </c>
      <c r="Y43" s="10">
        <f t="shared" si="31"/>
        <v>0</v>
      </c>
      <c r="Z43" s="23">
        <f t="shared" si="9"/>
        <v>0</v>
      </c>
    </row>
    <row r="44" spans="1:26" x14ac:dyDescent="0.3">
      <c r="A44" s="22"/>
      <c r="B44" s="5"/>
      <c r="C44" s="5"/>
      <c r="D44" s="6"/>
      <c r="E44" s="8"/>
      <c r="F44" s="8"/>
      <c r="G44" s="8"/>
      <c r="H44" s="8"/>
      <c r="I44" s="8"/>
      <c r="J44" s="8"/>
      <c r="K44" s="8"/>
      <c r="L44" s="8"/>
      <c r="M44" s="8"/>
      <c r="N44" s="8"/>
      <c r="O44" s="7" t="str">
        <f t="shared" si="25"/>
        <v/>
      </c>
      <c r="P44" s="7">
        <f t="shared" si="26"/>
        <v>0</v>
      </c>
      <c r="Q44" s="3" t="str">
        <f t="shared" si="27"/>
        <v/>
      </c>
      <c r="R44" s="4" t="str">
        <f t="shared" si="28"/>
        <v/>
      </c>
      <c r="S44" s="14"/>
      <c r="T44" s="16"/>
      <c r="U44" s="15"/>
      <c r="V44" s="8"/>
      <c r="W44" s="20" t="str">
        <f t="shared" si="29"/>
        <v/>
      </c>
      <c r="X44" s="20" t="str">
        <f t="shared" si="30"/>
        <v/>
      </c>
      <c r="Y44" s="10">
        <f t="shared" si="31"/>
        <v>0</v>
      </c>
      <c r="Z44" s="23">
        <f t="shared" si="9"/>
        <v>0</v>
      </c>
    </row>
    <row r="45" spans="1:26" x14ac:dyDescent="0.3">
      <c r="A45" s="22"/>
      <c r="B45" s="5"/>
      <c r="C45" s="5"/>
      <c r="D45" s="6"/>
      <c r="E45" s="8"/>
      <c r="F45" s="8"/>
      <c r="G45" s="8"/>
      <c r="H45" s="8"/>
      <c r="I45" s="8"/>
      <c r="J45" s="8"/>
      <c r="K45" s="8"/>
      <c r="L45" s="8"/>
      <c r="M45" s="8"/>
      <c r="N45" s="8"/>
      <c r="O45" s="7" t="str">
        <f t="shared" si="25"/>
        <v/>
      </c>
      <c r="P45" s="7">
        <f t="shared" si="26"/>
        <v>0</v>
      </c>
      <c r="Q45" s="3" t="str">
        <f t="shared" si="27"/>
        <v/>
      </c>
      <c r="R45" s="4" t="str">
        <f t="shared" si="28"/>
        <v/>
      </c>
      <c r="S45" s="14"/>
      <c r="T45" s="16"/>
      <c r="U45" s="15"/>
      <c r="V45" s="8"/>
      <c r="W45" s="20" t="str">
        <f t="shared" si="29"/>
        <v/>
      </c>
      <c r="X45" s="20" t="str">
        <f t="shared" si="30"/>
        <v/>
      </c>
      <c r="Y45" s="10">
        <f t="shared" si="31"/>
        <v>0</v>
      </c>
      <c r="Z45" s="23">
        <f t="shared" si="9"/>
        <v>0</v>
      </c>
    </row>
    <row r="46" spans="1:26" x14ac:dyDescent="0.3">
      <c r="A46" s="22"/>
      <c r="B46" s="5"/>
      <c r="C46" s="5"/>
      <c r="D46" s="6"/>
      <c r="E46" s="8"/>
      <c r="F46" s="8"/>
      <c r="G46" s="8"/>
      <c r="H46" s="8"/>
      <c r="I46" s="8"/>
      <c r="J46" s="8"/>
      <c r="K46" s="8"/>
      <c r="L46" s="8"/>
      <c r="M46" s="8"/>
      <c r="N46" s="8"/>
      <c r="O46" s="7" t="str">
        <f t="shared" si="25"/>
        <v/>
      </c>
      <c r="P46" s="7">
        <f t="shared" si="26"/>
        <v>0</v>
      </c>
      <c r="Q46" s="3" t="str">
        <f t="shared" si="27"/>
        <v/>
      </c>
      <c r="R46" s="4" t="str">
        <f t="shared" si="28"/>
        <v/>
      </c>
      <c r="S46" s="14"/>
      <c r="T46" s="16"/>
      <c r="U46" s="15"/>
      <c r="V46" s="8"/>
      <c r="W46" s="20" t="str">
        <f t="shared" si="29"/>
        <v/>
      </c>
      <c r="X46" s="20" t="str">
        <f t="shared" si="30"/>
        <v/>
      </c>
      <c r="Y46" s="10">
        <f t="shared" si="31"/>
        <v>0</v>
      </c>
      <c r="Z46" s="23">
        <f t="shared" si="9"/>
        <v>0</v>
      </c>
    </row>
    <row r="47" spans="1:26" x14ac:dyDescent="0.3">
      <c r="A47" s="22"/>
      <c r="B47" s="5"/>
      <c r="C47" s="5"/>
      <c r="D47" s="6"/>
      <c r="E47" s="8"/>
      <c r="F47" s="8"/>
      <c r="G47" s="8"/>
      <c r="H47" s="8"/>
      <c r="I47" s="8"/>
      <c r="J47" s="8"/>
      <c r="K47" s="8"/>
      <c r="L47" s="8"/>
      <c r="M47" s="8"/>
      <c r="N47" s="8"/>
      <c r="O47" s="7" t="str">
        <f t="shared" si="25"/>
        <v/>
      </c>
      <c r="P47" s="7">
        <f t="shared" si="26"/>
        <v>0</v>
      </c>
      <c r="Q47" s="3" t="str">
        <f t="shared" si="27"/>
        <v/>
      </c>
      <c r="R47" s="4" t="str">
        <f t="shared" si="28"/>
        <v/>
      </c>
      <c r="S47" s="14"/>
      <c r="T47" s="16"/>
      <c r="U47" s="15"/>
      <c r="V47" s="8"/>
      <c r="W47" s="20" t="str">
        <f t="shared" si="29"/>
        <v/>
      </c>
      <c r="X47" s="20" t="str">
        <f t="shared" si="30"/>
        <v/>
      </c>
      <c r="Y47" s="10">
        <f t="shared" si="31"/>
        <v>0</v>
      </c>
      <c r="Z47" s="23">
        <f t="shared" si="9"/>
        <v>0</v>
      </c>
    </row>
    <row r="48" spans="1:26" x14ac:dyDescent="0.3">
      <c r="A48" s="22"/>
      <c r="B48" s="5"/>
      <c r="C48" s="5"/>
      <c r="D48" s="6"/>
      <c r="E48" s="8"/>
      <c r="F48" s="8"/>
      <c r="G48" s="8"/>
      <c r="H48" s="8"/>
      <c r="I48" s="8"/>
      <c r="J48" s="8"/>
      <c r="K48" s="8"/>
      <c r="L48" s="8"/>
      <c r="M48" s="8"/>
      <c r="N48" s="8"/>
      <c r="O48" s="7" t="str">
        <f t="shared" si="25"/>
        <v/>
      </c>
      <c r="P48" s="7">
        <f t="shared" si="26"/>
        <v>0</v>
      </c>
      <c r="Q48" s="3" t="str">
        <f t="shared" si="27"/>
        <v/>
      </c>
      <c r="R48" s="4" t="str">
        <f t="shared" si="28"/>
        <v/>
      </c>
      <c r="S48" s="14"/>
      <c r="T48" s="16"/>
      <c r="U48" s="15"/>
      <c r="V48" s="8"/>
      <c r="W48" s="20" t="str">
        <f t="shared" si="29"/>
        <v/>
      </c>
      <c r="X48" s="20" t="str">
        <f t="shared" si="30"/>
        <v/>
      </c>
      <c r="Y48" s="10">
        <f t="shared" si="31"/>
        <v>0</v>
      </c>
      <c r="Z48" s="23">
        <f t="shared" si="9"/>
        <v>0</v>
      </c>
    </row>
    <row r="49" spans="1:26" x14ac:dyDescent="0.3">
      <c r="A49" s="22"/>
      <c r="B49" s="5"/>
      <c r="C49" s="5"/>
      <c r="D49" s="6"/>
      <c r="E49" s="8"/>
      <c r="F49" s="8"/>
      <c r="G49" s="8"/>
      <c r="H49" s="8"/>
      <c r="I49" s="8"/>
      <c r="J49" s="8"/>
      <c r="K49" s="8"/>
      <c r="L49" s="8"/>
      <c r="M49" s="8"/>
      <c r="N49" s="8"/>
      <c r="O49" s="7" t="str">
        <f t="shared" si="25"/>
        <v/>
      </c>
      <c r="P49" s="7">
        <f t="shared" si="26"/>
        <v>0</v>
      </c>
      <c r="Q49" s="3" t="str">
        <f t="shared" si="27"/>
        <v/>
      </c>
      <c r="R49" s="4" t="str">
        <f t="shared" si="28"/>
        <v/>
      </c>
      <c r="S49" s="14"/>
      <c r="T49" s="16"/>
      <c r="U49" s="15"/>
      <c r="V49" s="8"/>
      <c r="W49" s="20" t="str">
        <f t="shared" si="29"/>
        <v/>
      </c>
      <c r="X49" s="20" t="str">
        <f t="shared" si="30"/>
        <v/>
      </c>
      <c r="Y49" s="10">
        <f t="shared" si="31"/>
        <v>0</v>
      </c>
      <c r="Z49" s="23">
        <f t="shared" si="9"/>
        <v>0</v>
      </c>
    </row>
    <row r="50" spans="1:26" x14ac:dyDescent="0.3">
      <c r="A50" s="22"/>
      <c r="B50" s="5"/>
      <c r="C50" s="5"/>
      <c r="D50" s="6"/>
      <c r="E50" s="8"/>
      <c r="F50" s="8"/>
      <c r="G50" s="8"/>
      <c r="H50" s="8"/>
      <c r="I50" s="8"/>
      <c r="J50" s="8"/>
      <c r="K50" s="8"/>
      <c r="L50" s="8"/>
      <c r="M50" s="8"/>
      <c r="N50" s="8"/>
      <c r="O50" s="7" t="str">
        <f t="shared" si="25"/>
        <v/>
      </c>
      <c r="P50" s="7">
        <f t="shared" si="26"/>
        <v>0</v>
      </c>
      <c r="Q50" s="3" t="str">
        <f t="shared" si="27"/>
        <v/>
      </c>
      <c r="R50" s="4" t="str">
        <f t="shared" si="28"/>
        <v/>
      </c>
      <c r="S50" s="14"/>
      <c r="T50" s="16"/>
      <c r="U50" s="15"/>
      <c r="V50" s="8"/>
      <c r="W50" s="20" t="str">
        <f t="shared" si="29"/>
        <v/>
      </c>
      <c r="X50" s="20" t="str">
        <f t="shared" si="30"/>
        <v/>
      </c>
      <c r="Y50" s="10">
        <f t="shared" si="31"/>
        <v>0</v>
      </c>
      <c r="Z50" s="23">
        <f t="shared" si="9"/>
        <v>0</v>
      </c>
    </row>
  </sheetData>
  <mergeCells count="2">
    <mergeCell ref="A2:Z2"/>
    <mergeCell ref="B4:C4"/>
  </mergeCells>
  <conditionalFormatting sqref="Q12:R50">
    <cfRule type="expression" dxfId="41" priority="80">
      <formula>Q12=""</formula>
    </cfRule>
    <cfRule type="cellIs" dxfId="40" priority="83" operator="lessThan">
      <formula>0</formula>
    </cfRule>
    <cfRule type="cellIs" dxfId="39" priority="84" operator="greaterThan">
      <formula>0</formula>
    </cfRule>
  </conditionalFormatting>
  <conditionalFormatting sqref="Q12:R50">
    <cfRule type="cellIs" dxfId="38" priority="81" operator="lessThan">
      <formula>0</formula>
    </cfRule>
    <cfRule type="cellIs" dxfId="37" priority="82" operator="greaterThan">
      <formula>0</formula>
    </cfRule>
  </conditionalFormatting>
  <conditionalFormatting sqref="Q8">
    <cfRule type="expression" dxfId="36" priority="72">
      <formula>Q8=""</formula>
    </cfRule>
    <cfRule type="cellIs" dxfId="35" priority="73" operator="lessThan">
      <formula>0</formula>
    </cfRule>
    <cfRule type="cellIs" dxfId="34" priority="74" operator="greaterThan">
      <formula>0</formula>
    </cfRule>
  </conditionalFormatting>
  <conditionalFormatting sqref="R8">
    <cfRule type="expression" dxfId="33" priority="69">
      <formula>R8=""</formula>
    </cfRule>
    <cfRule type="cellIs" dxfId="32" priority="70" operator="lessThan">
      <formula>0</formula>
    </cfRule>
    <cfRule type="cellIs" dxfId="31" priority="71" operator="greaterThan">
      <formula>0</formula>
    </cfRule>
  </conditionalFormatting>
  <conditionalFormatting sqref="S15:V50 E12:N50 V12:V14 A12:A50 S12:T14">
    <cfRule type="expression" dxfId="30" priority="68">
      <formula>A12=""</formula>
    </cfRule>
  </conditionalFormatting>
  <conditionalFormatting sqref="U12">
    <cfRule type="expression" dxfId="29" priority="64">
      <formula>U12=""</formula>
    </cfRule>
  </conditionalFormatting>
  <conditionalFormatting sqref="U13:U14">
    <cfRule type="expression" dxfId="28" priority="63">
      <formula>U13=""</formula>
    </cfRule>
  </conditionalFormatting>
  <conditionalFormatting sqref="E11">
    <cfRule type="expression" dxfId="27" priority="21">
      <formula>E11=""</formula>
    </cfRule>
  </conditionalFormatting>
  <conditionalFormatting sqref="F11:N11">
    <cfRule type="expression" dxfId="26" priority="20">
      <formula>F11=""</formula>
    </cfRule>
  </conditionalFormatting>
  <conditionalFormatting sqref="V11">
    <cfRule type="expression" dxfId="25" priority="18">
      <formula>V11=""</formula>
    </cfRule>
  </conditionalFormatting>
  <conditionalFormatting sqref="A11">
    <cfRule type="expression" dxfId="24" priority="17">
      <formula>A11=""</formula>
    </cfRule>
  </conditionalFormatting>
  <conditionalFormatting sqref="T11">
    <cfRule type="expression" dxfId="23" priority="16">
      <formula>T11=""</formula>
    </cfRule>
  </conditionalFormatting>
  <conditionalFormatting sqref="Q11:R11">
    <cfRule type="expression" dxfId="22" priority="22">
      <formula>Q11=""</formula>
    </cfRule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Q11:R11">
    <cfRule type="cellIs" dxfId="19" priority="23" operator="lessThan">
      <formula>0</formula>
    </cfRule>
    <cfRule type="cellIs" dxfId="18" priority="24" operator="greaterThan">
      <formula>0</formula>
    </cfRule>
  </conditionalFormatting>
  <conditionalFormatting sqref="U11">
    <cfRule type="expression" dxfId="17" priority="19">
      <formula>U11=""</formula>
    </cfRule>
  </conditionalFormatting>
  <conditionalFormatting sqref="A10">
    <cfRule type="expression" dxfId="16" priority="4">
      <formula>A10=""</formula>
    </cfRule>
  </conditionalFormatting>
  <conditionalFormatting sqref="T10">
    <cfRule type="expression" dxfId="15" priority="3">
      <formula>T10=""</formula>
    </cfRule>
  </conditionalFormatting>
  <conditionalFormatting sqref="S11">
    <cfRule type="expression" dxfId="14" priority="15">
      <formula>S11=""</formula>
    </cfRule>
  </conditionalFormatting>
  <conditionalFormatting sqref="Q10:R10">
    <cfRule type="expression" dxfId="13" priority="9">
      <formula>Q10=""</formula>
    </cfRule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Q10:R10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E10">
    <cfRule type="expression" dxfId="8" priority="8">
      <formula>E10=""</formula>
    </cfRule>
  </conditionalFormatting>
  <conditionalFormatting sqref="F10:N10">
    <cfRule type="expression" dxfId="7" priority="7">
      <formula>F10=""</formula>
    </cfRule>
  </conditionalFormatting>
  <conditionalFormatting sqref="U10">
    <cfRule type="expression" dxfId="6" priority="6">
      <formula>U10=""</formula>
    </cfRule>
  </conditionalFormatting>
  <conditionalFormatting sqref="V10">
    <cfRule type="expression" dxfId="5" priority="5">
      <formula>V10=""</formula>
    </cfRule>
  </conditionalFormatting>
  <conditionalFormatting sqref="S10">
    <cfRule type="expression" dxfId="4" priority="2">
      <formula>S10=""</formula>
    </cfRule>
  </conditionalFormatting>
  <conditionalFormatting sqref="Z8">
    <cfRule type="expression" dxfId="3" priority="85" stopIfTrue="1">
      <formula>Z8=FALSE</formula>
    </cfRule>
  </conditionalFormatting>
  <conditionalFormatting sqref="Z8">
    <cfRule type="expression" dxfId="2" priority="86" stopIfTrue="1">
      <formula>Z8=TRUE</formula>
    </cfRule>
  </conditionalFormatting>
  <dataValidations count="1">
    <dataValidation type="list" allowBlank="1" showInputMessage="1" showErrorMessage="1" sqref="B7" xr:uid="{1806560E-294A-42F0-841E-3E5EE1B45524}">
      <formula1>Currency</formula1>
    </dataValidation>
  </dataValidations>
  <pageMargins left="0.75" right="0.75" top="1" bottom="1" header="0.5" footer="0.5"/>
  <pageSetup orientation="portrait" r:id="rId1"/>
  <ignoredErrors>
    <ignoredError sqref="Z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StockPython">
                <anchor moveWithCells="1" sizeWithCells="1">
                  <from>
                    <xdr:col>6</xdr:col>
                    <xdr:colOff>45720</xdr:colOff>
                    <xdr:row>1</xdr:row>
                    <xdr:rowOff>106680</xdr:rowOff>
                  </from>
                  <to>
                    <xdr:col>7</xdr:col>
                    <xdr:colOff>617220</xdr:colOff>
                    <xdr:row>1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AF63-1B9C-46FE-AA20-4FABEF2C65FD}">
  <sheetPr codeName="Sheet4">
    <tabColor rgb="FFFFFFCC"/>
  </sheetPr>
  <dimension ref="A1:D35"/>
  <sheetViews>
    <sheetView showGridLines="0" workbookViewId="0">
      <selection activeCell="P10" sqref="P10"/>
    </sheetView>
  </sheetViews>
  <sheetFormatPr defaultRowHeight="15.6" x14ac:dyDescent="0.3"/>
  <cols>
    <col min="1" max="1" width="27.19921875" customWidth="1"/>
    <col min="2" max="2" width="3.296875" customWidth="1"/>
    <col min="3" max="3" width="12.09765625" customWidth="1"/>
  </cols>
  <sheetData>
    <row r="1" spans="1:4" x14ac:dyDescent="0.3">
      <c r="A1" s="9" t="s">
        <v>19</v>
      </c>
      <c r="C1" s="37" t="s">
        <v>74</v>
      </c>
      <c r="D1" s="37"/>
    </row>
    <row r="2" spans="1:4" x14ac:dyDescent="0.3">
      <c r="A2" s="32" t="s">
        <v>63</v>
      </c>
      <c r="C2" s="18"/>
      <c r="D2" s="18"/>
    </row>
    <row r="3" spans="1:4" x14ac:dyDescent="0.3">
      <c r="A3" s="32" t="s">
        <v>51</v>
      </c>
      <c r="C3" s="18" t="s">
        <v>73</v>
      </c>
      <c r="D3" s="19">
        <f>+Portfolio!Q8</f>
        <v>10471.986239293994</v>
      </c>
    </row>
    <row r="4" spans="1:4" x14ac:dyDescent="0.3">
      <c r="A4" s="32" t="s">
        <v>57</v>
      </c>
      <c r="C4" s="18"/>
      <c r="D4" s="18"/>
    </row>
    <row r="5" spans="1:4" x14ac:dyDescent="0.3">
      <c r="A5" s="32" t="s">
        <v>55</v>
      </c>
    </row>
    <row r="6" spans="1:4" x14ac:dyDescent="0.3">
      <c r="A6" s="32" t="s">
        <v>42</v>
      </c>
    </row>
    <row r="7" spans="1:4" x14ac:dyDescent="0.3">
      <c r="A7" s="32" t="s">
        <v>50</v>
      </c>
    </row>
    <row r="8" spans="1:4" x14ac:dyDescent="0.3">
      <c r="A8" s="32" t="s">
        <v>44</v>
      </c>
    </row>
    <row r="9" spans="1:4" x14ac:dyDescent="0.3">
      <c r="A9" s="32" t="s">
        <v>40</v>
      </c>
    </row>
    <row r="10" spans="1:4" x14ac:dyDescent="0.3">
      <c r="A10" s="32" t="s">
        <v>28</v>
      </c>
    </row>
    <row r="11" spans="1:4" x14ac:dyDescent="0.3">
      <c r="A11" s="33" t="s">
        <v>36</v>
      </c>
    </row>
    <row r="12" spans="1:4" x14ac:dyDescent="0.3">
      <c r="A12" s="33" t="s">
        <v>37</v>
      </c>
    </row>
    <row r="13" spans="1:4" x14ac:dyDescent="0.3">
      <c r="A13" s="32" t="s">
        <v>47</v>
      </c>
    </row>
    <row r="14" spans="1:4" x14ac:dyDescent="0.3">
      <c r="A14" s="32" t="s">
        <v>64</v>
      </c>
    </row>
    <row r="15" spans="1:4" x14ac:dyDescent="0.3">
      <c r="A15" s="32" t="s">
        <v>38</v>
      </c>
    </row>
    <row r="16" spans="1:4" x14ac:dyDescent="0.3">
      <c r="A16" s="32" t="s">
        <v>39</v>
      </c>
    </row>
    <row r="17" spans="1:1" x14ac:dyDescent="0.3">
      <c r="A17" s="32" t="s">
        <v>41</v>
      </c>
    </row>
    <row r="18" spans="1:1" x14ac:dyDescent="0.3">
      <c r="A18" s="32" t="s">
        <v>56</v>
      </c>
    </row>
    <row r="19" spans="1:1" x14ac:dyDescent="0.3">
      <c r="A19" s="32" t="s">
        <v>34</v>
      </c>
    </row>
    <row r="20" spans="1:1" x14ac:dyDescent="0.3">
      <c r="A20" s="32" t="s">
        <v>62</v>
      </c>
    </row>
    <row r="21" spans="1:1" x14ac:dyDescent="0.3">
      <c r="A21" s="32" t="s">
        <v>43</v>
      </c>
    </row>
    <row r="22" spans="1:1" x14ac:dyDescent="0.3">
      <c r="A22" s="32" t="s">
        <v>48</v>
      </c>
    </row>
    <row r="23" spans="1:1" x14ac:dyDescent="0.3">
      <c r="A23" s="32" t="s">
        <v>49</v>
      </c>
    </row>
    <row r="24" spans="1:1" x14ac:dyDescent="0.3">
      <c r="A24" s="32" t="s">
        <v>59</v>
      </c>
    </row>
    <row r="25" spans="1:1" x14ac:dyDescent="0.3">
      <c r="A25" s="32" t="s">
        <v>52</v>
      </c>
    </row>
    <row r="26" spans="1:1" x14ac:dyDescent="0.3">
      <c r="A26" s="32" t="s">
        <v>53</v>
      </c>
    </row>
    <row r="27" spans="1:1" x14ac:dyDescent="0.3">
      <c r="A27" s="32" t="s">
        <v>58</v>
      </c>
    </row>
    <row r="28" spans="1:1" x14ac:dyDescent="0.3">
      <c r="A28" s="32" t="s">
        <v>61</v>
      </c>
    </row>
    <row r="29" spans="1:1" x14ac:dyDescent="0.3">
      <c r="A29" s="32" t="s">
        <v>35</v>
      </c>
    </row>
    <row r="30" spans="1:1" x14ac:dyDescent="0.3">
      <c r="A30" s="32" t="s">
        <v>45</v>
      </c>
    </row>
    <row r="31" spans="1:1" x14ac:dyDescent="0.3">
      <c r="A31" s="32" t="s">
        <v>46</v>
      </c>
    </row>
    <row r="32" spans="1:1" x14ac:dyDescent="0.3">
      <c r="A32" s="32" t="s">
        <v>60</v>
      </c>
    </row>
    <row r="33" spans="1:1" x14ac:dyDescent="0.3">
      <c r="A33" s="32" t="s">
        <v>27</v>
      </c>
    </row>
    <row r="34" spans="1:1" x14ac:dyDescent="0.3">
      <c r="A34" s="32" t="s">
        <v>54</v>
      </c>
    </row>
    <row r="35" spans="1:1" x14ac:dyDescent="0.3">
      <c r="A35" s="32" t="s">
        <v>78</v>
      </c>
    </row>
  </sheetData>
  <sortState xmlns:xlrd2="http://schemas.microsoft.com/office/spreadsheetml/2017/richdata2" ref="A2:A34">
    <sortCondition ref="A1:A34"/>
  </sortState>
  <mergeCells count="1">
    <mergeCell ref="C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9"/>
  <sheetViews>
    <sheetView showGridLines="0" workbookViewId="0">
      <selection activeCell="H36" sqref="H36"/>
    </sheetView>
  </sheetViews>
  <sheetFormatPr defaultColWidth="0" defaultRowHeight="15.6" x14ac:dyDescent="0.3"/>
  <cols>
    <col min="1" max="1" width="19.69921875" style="1" customWidth="1"/>
    <col min="2" max="2" width="24.69921875" style="1" customWidth="1"/>
    <col min="3" max="14" width="8.8984375" style="1" customWidth="1"/>
    <col min="15" max="16384" width="8.8984375" style="1" hidden="1"/>
  </cols>
  <sheetData>
    <row r="1" spans="1:9" x14ac:dyDescent="0.3">
      <c r="A1" s="28" t="s">
        <v>8</v>
      </c>
      <c r="B1" s="29" t="s">
        <v>13</v>
      </c>
    </row>
    <row r="2" spans="1:9" x14ac:dyDescent="0.3">
      <c r="A2" s="28" t="s">
        <v>9</v>
      </c>
      <c r="B2" s="29"/>
    </row>
    <row r="3" spans="1:9" x14ac:dyDescent="0.3">
      <c r="A3" s="28" t="s">
        <v>0</v>
      </c>
      <c r="B3" s="29"/>
    </row>
    <row r="4" spans="1:9" x14ac:dyDescent="0.3">
      <c r="A4" s="28" t="s">
        <v>7</v>
      </c>
      <c r="B4" s="29"/>
    </row>
    <row r="5" spans="1:9" x14ac:dyDescent="0.3">
      <c r="A5" s="28" t="s">
        <v>5</v>
      </c>
      <c r="B5" s="29"/>
    </row>
    <row r="6" spans="1:9" x14ac:dyDescent="0.3">
      <c r="A6" s="28" t="s">
        <v>1</v>
      </c>
      <c r="B6" s="29"/>
    </row>
    <row r="7" spans="1:9" x14ac:dyDescent="0.3">
      <c r="A7" s="28" t="s">
        <v>2</v>
      </c>
      <c r="B7" s="29" t="b">
        <v>0</v>
      </c>
    </row>
    <row r="8" spans="1:9" x14ac:dyDescent="0.3">
      <c r="A8" s="28" t="s">
        <v>3</v>
      </c>
      <c r="B8" s="29" t="b">
        <v>0</v>
      </c>
    </row>
    <row r="9" spans="1:9" x14ac:dyDescent="0.3">
      <c r="A9" s="28" t="s">
        <v>12</v>
      </c>
      <c r="B9" s="29" t="b">
        <v>1</v>
      </c>
      <c r="I9"/>
    </row>
    <row r="13" spans="1:9" x14ac:dyDescent="0.3">
      <c r="A13" s="30" t="s">
        <v>4</v>
      </c>
    </row>
    <row r="14" spans="1:9" x14ac:dyDescent="0.3">
      <c r="A14" s="1" t="s">
        <v>10</v>
      </c>
    </row>
    <row r="15" spans="1:9" x14ac:dyDescent="0.3">
      <c r="A15" s="1" t="s">
        <v>14</v>
      </c>
    </row>
    <row r="16" spans="1:9" x14ac:dyDescent="0.3">
      <c r="A16" s="1" t="s">
        <v>6</v>
      </c>
    </row>
    <row r="17" spans="1:2" x14ac:dyDescent="0.3">
      <c r="A17" s="1" t="s">
        <v>11</v>
      </c>
    </row>
    <row r="19" spans="1:2" x14ac:dyDescent="0.3">
      <c r="A19" s="27" t="s">
        <v>87</v>
      </c>
      <c r="B19" s="31" t="s">
        <v>88</v>
      </c>
    </row>
  </sheetData>
  <conditionalFormatting sqref="B7:B9">
    <cfRule type="expression" dxfId="1" priority="1" stopIfTrue="1">
      <formula>B7=FALSE</formula>
    </cfRule>
    <cfRule type="expression" dxfId="0" priority="2" stopIfTrue="1">
      <formula>B7=TRUE</formula>
    </cfRule>
  </conditionalFormatting>
  <hyperlinks>
    <hyperlink ref="B19" r:id="rId1" xr:uid="{43392298-C429-4E12-9425-9BF726A3FE8E}"/>
  </hyperlinks>
  <pageMargins left="0.7" right="0.7" top="0.75" bottom="0.75" header="0.3" footer="0.3"/>
  <pageSetup orientation="portrait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Portfolio</vt:lpstr>
      <vt:lpstr>Settings</vt:lpstr>
      <vt:lpstr>_xlwings.conf</vt:lpstr>
      <vt:lpstr>Currency</vt:lpstr>
      <vt:lpstr>TARGET_CURRENCY</vt:lpstr>
      <vt:lpstr>TICKER</vt:lpstr>
      <vt:lpstr>TIMESTAMP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Bananatree</cp:lastModifiedBy>
  <dcterms:created xsi:type="dcterms:W3CDTF">2015-01-25T11:31:25Z</dcterms:created>
  <dcterms:modified xsi:type="dcterms:W3CDTF">2021-03-27T23:28:16Z</dcterms:modified>
  <cp:category/>
  <cp:contentStatus/>
</cp:coreProperties>
</file>